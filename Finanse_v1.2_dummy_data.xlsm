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44ee3842bd9bdcb/_Tech/_git_repos/excel_fin_tracker/_develop/"/>
    </mc:Choice>
  </mc:AlternateContent>
  <xr:revisionPtr revIDLastSave="445" documentId="8_{A4B5B942-374F-4909-A42C-457EEFDD62EC}" xr6:coauthVersionLast="47" xr6:coauthVersionMax="47" xr10:uidLastSave="{7E57E51D-192F-4EFD-81DF-0CE03D0BD754}"/>
  <bookViews>
    <workbookView xWindow="38280" yWindow="-255" windowWidth="38640" windowHeight="21240" firstSheet="2" activeTab="2" xr2:uid="{74335BCA-9CC0-4FF3-BB46-474F54372AC3}"/>
  </bookViews>
  <sheets>
    <sheet name="tech" sheetId="2" state="hidden" r:id="rId1"/>
    <sheet name="tech_tbls" sheetId="11" state="hidden" r:id="rId2"/>
    <sheet name="start" sheetId="1" r:id="rId3"/>
    <sheet name="budżet" sheetId="5" r:id="rId4"/>
    <sheet name="PL" sheetId="7" r:id="rId5"/>
    <sheet name="BS" sheetId="10" r:id="rId6"/>
  </sheets>
  <definedNames>
    <definedName name="months">tech!$C$3:$C$14</definedName>
    <definedName name="rate_fun">start!$D$18</definedName>
    <definedName name="rate_home">start!$D$16</definedName>
    <definedName name="rate_savings">start!$D$17</definedName>
    <definedName name="start_month">start!#REF!</definedName>
    <definedName name="years">tech!$F$3:$F$14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9" i="11" l="1"/>
  <c r="E29" i="11"/>
  <c r="F29" i="11"/>
  <c r="G29" i="11"/>
  <c r="H29" i="11"/>
  <c r="I29" i="11"/>
  <c r="J29" i="11"/>
  <c r="K29" i="11"/>
  <c r="L29" i="11"/>
  <c r="M29" i="11"/>
  <c r="N29" i="11"/>
  <c r="D28" i="11"/>
  <c r="E28" i="11"/>
  <c r="F28" i="11"/>
  <c r="G28" i="11"/>
  <c r="H28" i="11"/>
  <c r="I28" i="11"/>
  <c r="J28" i="11"/>
  <c r="K28" i="11"/>
  <c r="J14" i="10"/>
  <c r="E20" i="10"/>
  <c r="F20" i="10"/>
  <c r="G20" i="10"/>
  <c r="H20" i="10"/>
  <c r="I20" i="10"/>
  <c r="J20" i="10"/>
  <c r="K20" i="10"/>
  <c r="L20" i="10"/>
  <c r="M20" i="10"/>
  <c r="L28" i="11" s="1"/>
  <c r="N20" i="10"/>
  <c r="M28" i="11" s="1"/>
  <c r="O20" i="10"/>
  <c r="N28" i="11" s="1"/>
  <c r="D20" i="10"/>
  <c r="C28" i="11"/>
  <c r="D27" i="11"/>
  <c r="E27" i="11"/>
  <c r="F27" i="11"/>
  <c r="G27" i="11"/>
  <c r="H27" i="11"/>
  <c r="I27" i="11"/>
  <c r="J27" i="11"/>
  <c r="K27" i="11"/>
  <c r="L27" i="11"/>
  <c r="M27" i="11"/>
  <c r="N27" i="11"/>
  <c r="O27" i="11"/>
  <c r="J22" i="5"/>
  <c r="H26" i="11"/>
  <c r="P31" i="11"/>
  <c r="P27" i="11"/>
  <c r="P28" i="11"/>
  <c r="P29" i="11"/>
  <c r="P26" i="11"/>
  <c r="P21" i="11"/>
  <c r="P22" i="11"/>
  <c r="P20" i="11"/>
  <c r="P4" i="11"/>
  <c r="P5" i="11"/>
  <c r="P3" i="11"/>
  <c r="P10" i="11"/>
  <c r="P11" i="11"/>
  <c r="P12" i="11"/>
  <c r="P13" i="11"/>
  <c r="P14" i="11"/>
  <c r="P15" i="11"/>
  <c r="P16" i="11"/>
  <c r="P9" i="11"/>
  <c r="D15" i="11"/>
  <c r="E15" i="11"/>
  <c r="F15" i="11"/>
  <c r="G15" i="11"/>
  <c r="H15" i="11"/>
  <c r="I15" i="11"/>
  <c r="J15" i="11"/>
  <c r="C15" i="11"/>
  <c r="D14" i="11"/>
  <c r="E14" i="11"/>
  <c r="F14" i="11"/>
  <c r="G14" i="11"/>
  <c r="H14" i="11"/>
  <c r="I14" i="11"/>
  <c r="J14" i="11"/>
  <c r="C14" i="11"/>
  <c r="C17" i="2"/>
  <c r="F3" i="2" s="1"/>
  <c r="F4" i="2" s="1"/>
  <c r="F5" i="2" s="1"/>
  <c r="F6" i="2" s="1"/>
  <c r="F7" i="2" s="1"/>
  <c r="F8" i="2" s="1"/>
  <c r="F9" i="2" s="1"/>
  <c r="F10" i="2" s="1"/>
  <c r="F11" i="2" s="1"/>
  <c r="F12" i="2" s="1"/>
  <c r="F13" i="2" s="1"/>
  <c r="F14" i="2" s="1"/>
  <c r="C16" i="2"/>
  <c r="D16" i="2"/>
  <c r="F16" i="2" s="1"/>
  <c r="D31" i="11"/>
  <c r="E31" i="11"/>
  <c r="F31" i="11"/>
  <c r="G31" i="11"/>
  <c r="H31" i="11"/>
  <c r="I31" i="11"/>
  <c r="J31" i="11"/>
  <c r="K31" i="11"/>
  <c r="L31" i="11"/>
  <c r="M31" i="11"/>
  <c r="N31" i="11"/>
  <c r="C31" i="11"/>
  <c r="E14" i="10"/>
  <c r="F14" i="10"/>
  <c r="G14" i="10"/>
  <c r="H14" i="10"/>
  <c r="I14" i="10"/>
  <c r="K14" i="10"/>
  <c r="L14" i="10"/>
  <c r="M14" i="10"/>
  <c r="N14" i="10"/>
  <c r="O14" i="10"/>
  <c r="D14" i="10"/>
  <c r="C29" i="11" s="1"/>
  <c r="C27" i="11"/>
  <c r="D26" i="11"/>
  <c r="E26" i="11"/>
  <c r="F26" i="11"/>
  <c r="G26" i="11"/>
  <c r="I26" i="11"/>
  <c r="J26" i="11"/>
  <c r="K26" i="11"/>
  <c r="L26" i="11"/>
  <c r="M26" i="11"/>
  <c r="N26" i="11"/>
  <c r="C26" i="11"/>
  <c r="D21" i="11"/>
  <c r="E21" i="11"/>
  <c r="F21" i="11"/>
  <c r="G21" i="11"/>
  <c r="H21" i="11"/>
  <c r="I21" i="11"/>
  <c r="J21" i="11"/>
  <c r="K21" i="11"/>
  <c r="L21" i="11"/>
  <c r="M21" i="11"/>
  <c r="N21" i="11"/>
  <c r="C21" i="11"/>
  <c r="K14" i="11"/>
  <c r="L14" i="11"/>
  <c r="M14" i="11"/>
  <c r="N14" i="11"/>
  <c r="K16" i="11"/>
  <c r="L16" i="11"/>
  <c r="M16" i="11"/>
  <c r="N16" i="11"/>
  <c r="D9" i="11"/>
  <c r="E9" i="11"/>
  <c r="F9" i="11"/>
  <c r="G9" i="11"/>
  <c r="H9" i="11"/>
  <c r="I9" i="11"/>
  <c r="J9" i="11"/>
  <c r="K9" i="11"/>
  <c r="L9" i="11"/>
  <c r="M9" i="11"/>
  <c r="N9" i="11"/>
  <c r="D10" i="11"/>
  <c r="E10" i="11"/>
  <c r="F10" i="11"/>
  <c r="G10" i="11"/>
  <c r="H10" i="11"/>
  <c r="I10" i="11"/>
  <c r="J10" i="11"/>
  <c r="K10" i="11"/>
  <c r="L10" i="11"/>
  <c r="M10" i="11"/>
  <c r="N10" i="11"/>
  <c r="D11" i="11"/>
  <c r="E11" i="11"/>
  <c r="F11" i="11"/>
  <c r="G11" i="11"/>
  <c r="H11" i="11"/>
  <c r="I11" i="11"/>
  <c r="J11" i="11"/>
  <c r="K11" i="11"/>
  <c r="L11" i="11"/>
  <c r="M11" i="11"/>
  <c r="N11" i="11"/>
  <c r="D12" i="11"/>
  <c r="E12" i="11"/>
  <c r="F12" i="11"/>
  <c r="G12" i="11"/>
  <c r="H12" i="11"/>
  <c r="I12" i="11"/>
  <c r="J12" i="11"/>
  <c r="K12" i="11"/>
  <c r="L12" i="11"/>
  <c r="M12" i="11"/>
  <c r="N12" i="11"/>
  <c r="D13" i="11"/>
  <c r="E13" i="11"/>
  <c r="F13" i="11"/>
  <c r="G13" i="11"/>
  <c r="H13" i="11"/>
  <c r="I13" i="11"/>
  <c r="J13" i="11"/>
  <c r="K13" i="11"/>
  <c r="L13" i="11"/>
  <c r="M13" i="11"/>
  <c r="N13" i="11"/>
  <c r="C13" i="11"/>
  <c r="C12" i="11"/>
  <c r="C11" i="11"/>
  <c r="C10" i="11"/>
  <c r="C9" i="11"/>
  <c r="E29" i="7"/>
  <c r="D16" i="11" s="1"/>
  <c r="F29" i="7"/>
  <c r="E16" i="11" s="1"/>
  <c r="G29" i="7"/>
  <c r="F16" i="11" s="1"/>
  <c r="H29" i="7"/>
  <c r="G16" i="11" s="1"/>
  <c r="I29" i="7"/>
  <c r="H16" i="11" s="1"/>
  <c r="J29" i="7"/>
  <c r="I16" i="11" s="1"/>
  <c r="K29" i="7"/>
  <c r="J16" i="11" s="1"/>
  <c r="L29" i="7"/>
  <c r="M29" i="7"/>
  <c r="N29" i="7"/>
  <c r="O29" i="7"/>
  <c r="D29" i="7"/>
  <c r="C16" i="11" s="1"/>
  <c r="E25" i="7"/>
  <c r="F25" i="7"/>
  <c r="G25" i="7"/>
  <c r="H25" i="7"/>
  <c r="I25" i="7"/>
  <c r="J25" i="7"/>
  <c r="K25" i="7"/>
  <c r="L25" i="7"/>
  <c r="M25" i="7"/>
  <c r="N25" i="7"/>
  <c r="O25" i="7"/>
  <c r="D25" i="7"/>
  <c r="E21" i="7"/>
  <c r="F21" i="7"/>
  <c r="G21" i="7"/>
  <c r="H21" i="7"/>
  <c r="I21" i="7"/>
  <c r="J21" i="7"/>
  <c r="K21" i="7"/>
  <c r="L21" i="7"/>
  <c r="M21" i="7"/>
  <c r="N21" i="7"/>
  <c r="O21" i="7"/>
  <c r="D21" i="7"/>
  <c r="I33" i="5"/>
  <c r="I32" i="5"/>
  <c r="E9" i="7" s="1"/>
  <c r="M33" i="5"/>
  <c r="F10" i="7" s="1"/>
  <c r="M32" i="5"/>
  <c r="Q33" i="5"/>
  <c r="Q32" i="5"/>
  <c r="U33" i="5"/>
  <c r="U32" i="5"/>
  <c r="Y33" i="5"/>
  <c r="Y32" i="5"/>
  <c r="AC33" i="5"/>
  <c r="AC32" i="5"/>
  <c r="AG33" i="5"/>
  <c r="AG32" i="5"/>
  <c r="AK33" i="5"/>
  <c r="AK32" i="5"/>
  <c r="AO33" i="5"/>
  <c r="AO32" i="5"/>
  <c r="AS33" i="5"/>
  <c r="AS32" i="5"/>
  <c r="AW33" i="5"/>
  <c r="AW32" i="5"/>
  <c r="E33" i="5"/>
  <c r="E32" i="5"/>
  <c r="Q16" i="7"/>
  <c r="D23" i="5"/>
  <c r="D22" i="5"/>
  <c r="B3" i="7"/>
  <c r="Q28" i="7"/>
  <c r="Q27" i="7"/>
  <c r="Q24" i="7"/>
  <c r="Q23" i="7"/>
  <c r="Q17" i="7"/>
  <c r="Q18" i="7"/>
  <c r="Q19" i="7"/>
  <c r="Q20" i="7"/>
  <c r="Q11" i="7"/>
  <c r="E12" i="10"/>
  <c r="F12" i="10"/>
  <c r="G12" i="10"/>
  <c r="H12" i="10"/>
  <c r="I12" i="10"/>
  <c r="J12" i="10"/>
  <c r="K12" i="10"/>
  <c r="L12" i="10"/>
  <c r="M12" i="10"/>
  <c r="N12" i="10"/>
  <c r="O12" i="10"/>
  <c r="D12" i="10"/>
  <c r="B3" i="10"/>
  <c r="B15" i="1"/>
  <c r="O31" i="7" l="1"/>
  <c r="N4" i="11" s="1"/>
  <c r="N31" i="7"/>
  <c r="M31" i="7"/>
  <c r="L4" i="11" s="1"/>
  <c r="L31" i="7"/>
  <c r="K4" i="11" s="1"/>
  <c r="J31" i="7"/>
  <c r="I4" i="11" s="1"/>
  <c r="F31" i="7"/>
  <c r="Q15" i="11"/>
  <c r="Q21" i="11" a="1"/>
  <c r="Q21" i="11" s="1"/>
  <c r="Q26" i="11" a="1"/>
  <c r="Q26" i="11" s="1"/>
  <c r="Q27" i="11" a="1"/>
  <c r="Q27" i="11" s="1"/>
  <c r="Q31" i="11" a="1"/>
  <c r="Q31" i="11" s="1"/>
  <c r="K31" i="7"/>
  <c r="J4" i="11" s="1"/>
  <c r="I31" i="7"/>
  <c r="H4" i="11" s="1"/>
  <c r="H31" i="7"/>
  <c r="G4" i="11" s="1"/>
  <c r="G31" i="7"/>
  <c r="F4" i="11" s="1"/>
  <c r="E31" i="7"/>
  <c r="D4" i="11" s="1"/>
  <c r="D31" i="7"/>
  <c r="C4" i="11" s="1"/>
  <c r="Q9" i="11"/>
  <c r="Q29" i="11" a="1"/>
  <c r="Q29" i="11" s="1"/>
  <c r="O27" i="10"/>
  <c r="O29" i="10" s="1"/>
  <c r="K27" i="10"/>
  <c r="K29" i="10" s="1"/>
  <c r="G27" i="10"/>
  <c r="G29" i="10" s="1"/>
  <c r="N27" i="10"/>
  <c r="N29" i="10" s="1"/>
  <c r="J27" i="10"/>
  <c r="J29" i="10" s="1"/>
  <c r="F27" i="10"/>
  <c r="F29" i="10" s="1"/>
  <c r="M27" i="10"/>
  <c r="M29" i="10" s="1"/>
  <c r="I27" i="10"/>
  <c r="I29" i="10" s="1"/>
  <c r="E27" i="10"/>
  <c r="E29" i="10" s="1"/>
  <c r="D27" i="10"/>
  <c r="D29" i="10" s="1"/>
  <c r="L27" i="10"/>
  <c r="L29" i="10" s="1"/>
  <c r="H27" i="10"/>
  <c r="H29" i="10" s="1"/>
  <c r="Q16" i="11"/>
  <c r="Q14" i="11"/>
  <c r="Q11" i="11"/>
  <c r="Q10" i="11"/>
  <c r="Q13" i="11"/>
  <c r="Q12" i="11"/>
  <c r="M4" i="11"/>
  <c r="Q29" i="7"/>
  <c r="E4" i="11"/>
  <c r="Q25" i="7"/>
  <c r="Q21" i="7"/>
  <c r="Q24" i="5"/>
  <c r="Q18" i="5" s="1"/>
  <c r="M24" i="5"/>
  <c r="M18" i="5" s="1"/>
  <c r="I24" i="5"/>
  <c r="I18" i="5" s="1"/>
  <c r="AW14" i="5"/>
  <c r="AW8" i="5" s="1"/>
  <c r="AS14" i="5"/>
  <c r="AS8" i="5" s="1"/>
  <c r="AO14" i="5"/>
  <c r="AK14" i="5"/>
  <c r="AK8" i="5" s="1"/>
  <c r="AG14" i="5"/>
  <c r="AC14" i="5"/>
  <c r="Y14" i="5"/>
  <c r="U14" i="5"/>
  <c r="U8" i="5" s="1"/>
  <c r="Q14" i="5"/>
  <c r="Q8" i="5" s="1"/>
  <c r="M14" i="5"/>
  <c r="I14" i="5"/>
  <c r="I8" i="5" s="1"/>
  <c r="BC6" i="5"/>
  <c r="BA19" i="5"/>
  <c r="AV29" i="5"/>
  <c r="AV28" i="5"/>
  <c r="AR29" i="5"/>
  <c r="AR28" i="5"/>
  <c r="AN29" i="5"/>
  <c r="AN28" i="5"/>
  <c r="AJ29" i="5"/>
  <c r="AJ28" i="5"/>
  <c r="AF29" i="5"/>
  <c r="AF28" i="5"/>
  <c r="AB29" i="5"/>
  <c r="AB28" i="5"/>
  <c r="X29" i="5"/>
  <c r="X28" i="5"/>
  <c r="T29" i="5"/>
  <c r="T28" i="5"/>
  <c r="P29" i="5"/>
  <c r="P28" i="5"/>
  <c r="L29" i="5"/>
  <c r="L28" i="5"/>
  <c r="H29" i="5"/>
  <c r="H28" i="5"/>
  <c r="D29" i="5"/>
  <c r="D28" i="5"/>
  <c r="BA9" i="5"/>
  <c r="BB23" i="5"/>
  <c r="BB22" i="5"/>
  <c r="BB13" i="5"/>
  <c r="BB12" i="5"/>
  <c r="AW24" i="5"/>
  <c r="AW18" i="5" s="1"/>
  <c r="AV24" i="5"/>
  <c r="AS24" i="5"/>
  <c r="AR24" i="5"/>
  <c r="AO24" i="5"/>
  <c r="AO18" i="5" s="1"/>
  <c r="AN24" i="5"/>
  <c r="AK24" i="5"/>
  <c r="AJ24" i="5"/>
  <c r="AG24" i="5"/>
  <c r="AG18" i="5" s="1"/>
  <c r="AF24" i="5"/>
  <c r="AC24" i="5"/>
  <c r="AB24" i="5"/>
  <c r="AV23" i="5"/>
  <c r="AX23" i="5" s="1"/>
  <c r="AT23" i="5"/>
  <c r="AR23" i="5"/>
  <c r="AP23" i="5"/>
  <c r="AN23" i="5"/>
  <c r="AL23" i="5"/>
  <c r="AJ23" i="5"/>
  <c r="AF23" i="5"/>
  <c r="AH23" i="5" s="1"/>
  <c r="AB23" i="5"/>
  <c r="AD23" i="5" s="1"/>
  <c r="AV22" i="5"/>
  <c r="AX22" i="5" s="1"/>
  <c r="AR22" i="5"/>
  <c r="AT22" i="5" s="1"/>
  <c r="AN22" i="5"/>
  <c r="AP22" i="5" s="1"/>
  <c r="AL22" i="5"/>
  <c r="AJ22" i="5"/>
  <c r="AF22" i="5"/>
  <c r="AH22" i="5" s="1"/>
  <c r="AB22" i="5"/>
  <c r="AD22" i="5" s="1"/>
  <c r="AS18" i="5"/>
  <c r="AK18" i="5"/>
  <c r="AC18" i="5"/>
  <c r="AV14" i="5"/>
  <c r="AR14" i="5"/>
  <c r="AN14" i="5"/>
  <c r="AJ14" i="5"/>
  <c r="AF14" i="5"/>
  <c r="AB14" i="5"/>
  <c r="AV13" i="5"/>
  <c r="AT13" i="5"/>
  <c r="AR13" i="5"/>
  <c r="AP13" i="5"/>
  <c r="AN13" i="5"/>
  <c r="AJ13" i="5"/>
  <c r="AL13" i="5" s="1"/>
  <c r="AH13" i="5"/>
  <c r="AF13" i="5"/>
  <c r="AD13" i="5"/>
  <c r="AB13" i="5"/>
  <c r="AV12" i="5"/>
  <c r="AX12" i="5" s="1"/>
  <c r="AR12" i="5"/>
  <c r="AP12" i="5"/>
  <c r="AN12" i="5"/>
  <c r="AJ12" i="5"/>
  <c r="AH12" i="5"/>
  <c r="AF12" i="5"/>
  <c r="AB12" i="5"/>
  <c r="AO8" i="5"/>
  <c r="AG8" i="5"/>
  <c r="AC8" i="5"/>
  <c r="Y24" i="5"/>
  <c r="Y18" i="5" s="1"/>
  <c r="X24" i="5"/>
  <c r="X23" i="5"/>
  <c r="Z23" i="5" s="1"/>
  <c r="X22" i="5"/>
  <c r="Z22" i="5" s="1"/>
  <c r="X14" i="5"/>
  <c r="X13" i="5"/>
  <c r="Z13" i="5" s="1"/>
  <c r="X12" i="5"/>
  <c r="Z12" i="5" s="1"/>
  <c r="Y8" i="5"/>
  <c r="U24" i="5"/>
  <c r="U18" i="5" s="1"/>
  <c r="T24" i="5"/>
  <c r="V23" i="5"/>
  <c r="T23" i="5"/>
  <c r="T22" i="5"/>
  <c r="V22" i="5" s="1"/>
  <c r="T14" i="5"/>
  <c r="V13" i="5"/>
  <c r="T13" i="5"/>
  <c r="T12" i="5"/>
  <c r="V12" i="5" s="1"/>
  <c r="P24" i="5"/>
  <c r="P23" i="5"/>
  <c r="R23" i="5" s="1"/>
  <c r="P22" i="5"/>
  <c r="R22" i="5" s="1"/>
  <c r="P14" i="5"/>
  <c r="P13" i="5"/>
  <c r="R13" i="5" s="1"/>
  <c r="P12" i="5"/>
  <c r="R12" i="5" s="1"/>
  <c r="F9" i="7"/>
  <c r="L24" i="5"/>
  <c r="L23" i="5"/>
  <c r="N23" i="5" s="1"/>
  <c r="L22" i="5"/>
  <c r="N22" i="5" s="1"/>
  <c r="L14" i="5"/>
  <c r="L13" i="5"/>
  <c r="L12" i="5"/>
  <c r="N12" i="5" s="1"/>
  <c r="M8" i="5"/>
  <c r="E10" i="7"/>
  <c r="H24" i="5"/>
  <c r="H23" i="5"/>
  <c r="J23" i="5" s="1"/>
  <c r="H22" i="5"/>
  <c r="H14" i="5"/>
  <c r="H13" i="5"/>
  <c r="J13" i="5" s="1"/>
  <c r="H12" i="5"/>
  <c r="J12" i="5" s="1"/>
  <c r="D10" i="7"/>
  <c r="D9" i="7"/>
  <c r="D12" i="5"/>
  <c r="F12" i="5" s="1"/>
  <c r="D13" i="5"/>
  <c r="F13" i="5" s="1"/>
  <c r="D24" i="5"/>
  <c r="F23" i="5"/>
  <c r="F22" i="5"/>
  <c r="D14" i="5"/>
  <c r="E24" i="5"/>
  <c r="E18" i="5" s="1"/>
  <c r="E14" i="5"/>
  <c r="E8" i="5" s="1"/>
  <c r="C22" i="2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D33" i="2" s="1"/>
  <c r="E33" i="2" s="1"/>
  <c r="AV6" i="5" s="1"/>
  <c r="Q28" i="11" l="1" a="1"/>
  <c r="Q28" i="11" s="1"/>
  <c r="AR34" i="5"/>
  <c r="AN33" i="5"/>
  <c r="AB34" i="5"/>
  <c r="AB32" i="5"/>
  <c r="AR33" i="5"/>
  <c r="AF33" i="5"/>
  <c r="AB33" i="5"/>
  <c r="AD33" i="5" s="1"/>
  <c r="AD12" i="5"/>
  <c r="Q4" i="11"/>
  <c r="O5" i="10"/>
  <c r="O5" i="7"/>
  <c r="M35" i="10"/>
  <c r="L20" i="11"/>
  <c r="L22" i="11" s="1"/>
  <c r="L35" i="10"/>
  <c r="K20" i="11"/>
  <c r="K22" i="11" s="1"/>
  <c r="N20" i="11"/>
  <c r="N22" i="11" s="1"/>
  <c r="O35" i="10"/>
  <c r="J35" i="10"/>
  <c r="I20" i="11"/>
  <c r="I22" i="11" s="1"/>
  <c r="E20" i="11"/>
  <c r="E22" i="11" s="1"/>
  <c r="F35" i="10"/>
  <c r="I35" i="10"/>
  <c r="H20" i="11"/>
  <c r="F20" i="11"/>
  <c r="F22" i="11" s="1"/>
  <c r="G35" i="10"/>
  <c r="H35" i="10"/>
  <c r="G20" i="11"/>
  <c r="G22" i="11" s="1"/>
  <c r="E35" i="10"/>
  <c r="D20" i="11"/>
  <c r="D22" i="11" s="1"/>
  <c r="N35" i="10"/>
  <c r="M20" i="11"/>
  <c r="M22" i="11" s="1"/>
  <c r="J20" i="11"/>
  <c r="J22" i="11" s="1"/>
  <c r="K35" i="10"/>
  <c r="C20" i="11"/>
  <c r="C22" i="11" s="1"/>
  <c r="D35" i="10"/>
  <c r="AJ33" i="5"/>
  <c r="AR32" i="5"/>
  <c r="AT12" i="5"/>
  <c r="AV33" i="5"/>
  <c r="AX13" i="5"/>
  <c r="AN32" i="5"/>
  <c r="AJ32" i="5"/>
  <c r="AF32" i="5"/>
  <c r="AH32" i="5" s="1"/>
  <c r="AL12" i="5"/>
  <c r="AV32" i="5"/>
  <c r="AX32" i="5" s="1"/>
  <c r="Q31" i="7"/>
  <c r="AF34" i="5"/>
  <c r="D8" i="7"/>
  <c r="F8" i="7"/>
  <c r="F12" i="7" s="1"/>
  <c r="E3" i="11" s="1"/>
  <c r="E5" i="11" s="1"/>
  <c r="E8" i="7"/>
  <c r="E12" i="7" s="1"/>
  <c r="G10" i="7"/>
  <c r="AH33" i="5"/>
  <c r="K10" i="7"/>
  <c r="AD32" i="5"/>
  <c r="J9" i="7"/>
  <c r="AL33" i="5"/>
  <c r="L10" i="7"/>
  <c r="H9" i="7"/>
  <c r="I10" i="7"/>
  <c r="K9" i="7"/>
  <c r="O9" i="7"/>
  <c r="AP33" i="5"/>
  <c r="M10" i="7"/>
  <c r="AP32" i="5"/>
  <c r="M9" i="7"/>
  <c r="AX33" i="5"/>
  <c r="O10" i="7"/>
  <c r="I9" i="7"/>
  <c r="AT32" i="5"/>
  <c r="N9" i="7"/>
  <c r="G9" i="7"/>
  <c r="H10" i="7"/>
  <c r="AL32" i="5"/>
  <c r="L9" i="7"/>
  <c r="J10" i="7"/>
  <c r="AT33" i="5"/>
  <c r="N10" i="7"/>
  <c r="X34" i="5"/>
  <c r="AV34" i="5"/>
  <c r="AJ34" i="5"/>
  <c r="D23" i="2"/>
  <c r="E23" i="2" s="1"/>
  <c r="D32" i="2"/>
  <c r="E32" i="2" s="1"/>
  <c r="AR6" i="5" s="1"/>
  <c r="D24" i="2"/>
  <c r="E24" i="2" s="1"/>
  <c r="D28" i="2"/>
  <c r="E28" i="2" s="1"/>
  <c r="D31" i="2"/>
  <c r="E31" i="2" s="1"/>
  <c r="AN6" i="5" s="1"/>
  <c r="D27" i="2"/>
  <c r="E27" i="2" s="1"/>
  <c r="D22" i="2"/>
  <c r="E22" i="2" s="1"/>
  <c r="D30" i="2"/>
  <c r="E30" i="2" s="1"/>
  <c r="AJ6" i="5" s="1"/>
  <c r="D26" i="2"/>
  <c r="E26" i="2" s="1"/>
  <c r="L34" i="5"/>
  <c r="P33" i="5"/>
  <c r="R33" i="5" s="1"/>
  <c r="P32" i="5"/>
  <c r="R32" i="5" s="1"/>
  <c r="T32" i="5"/>
  <c r="V32" i="5" s="1"/>
  <c r="T34" i="5"/>
  <c r="D29" i="2"/>
  <c r="E29" i="2" s="1"/>
  <c r="D25" i="2"/>
  <c r="E25" i="2" s="1"/>
  <c r="L32" i="5"/>
  <c r="N32" i="5" s="1"/>
  <c r="X33" i="5"/>
  <c r="Z33" i="5" s="1"/>
  <c r="X32" i="5"/>
  <c r="Z32" i="5" s="1"/>
  <c r="P34" i="5"/>
  <c r="T33" i="5"/>
  <c r="V33" i="5" s="1"/>
  <c r="AN34" i="5"/>
  <c r="L33" i="5"/>
  <c r="N33" i="5" s="1"/>
  <c r="N13" i="5"/>
  <c r="BB33" i="5"/>
  <c r="BA28" i="5"/>
  <c r="BA29" i="5"/>
  <c r="BA18" i="5"/>
  <c r="BB32" i="5"/>
  <c r="H32" i="5"/>
  <c r="J32" i="5" s="1"/>
  <c r="H34" i="5"/>
  <c r="BA24" i="5"/>
  <c r="H33" i="5"/>
  <c r="J33" i="5" s="1"/>
  <c r="BA8" i="5"/>
  <c r="BA14" i="5"/>
  <c r="BA22" i="5"/>
  <c r="BC22" i="5" s="1"/>
  <c r="BA23" i="5"/>
  <c r="BC23" i="5" s="1"/>
  <c r="BA12" i="5"/>
  <c r="BC12" i="5" s="1"/>
  <c r="BA13" i="5"/>
  <c r="BC13" i="5" s="1"/>
  <c r="D32" i="5"/>
  <c r="F32" i="5" s="1"/>
  <c r="D33" i="5"/>
  <c r="F33" i="5" s="1"/>
  <c r="D34" i="5"/>
  <c r="E33" i="7" l="1"/>
  <c r="D3" i="11"/>
  <c r="D5" i="11" s="1"/>
  <c r="D1" i="11" s="1"/>
  <c r="D2" i="11" s="1"/>
  <c r="D6" i="5"/>
  <c r="X6" i="5"/>
  <c r="N5" i="10"/>
  <c r="N5" i="7"/>
  <c r="T6" i="5"/>
  <c r="M5" i="10"/>
  <c r="M5" i="7"/>
  <c r="H6" i="5"/>
  <c r="AF6" i="5"/>
  <c r="L6" i="5"/>
  <c r="E1" i="11"/>
  <c r="E2" i="11" s="1"/>
  <c r="P6" i="5"/>
  <c r="L5" i="7"/>
  <c r="L5" i="10"/>
  <c r="AB6" i="5"/>
  <c r="Q20" i="11" a="1"/>
  <c r="Q20" i="11" s="1"/>
  <c r="H22" i="11"/>
  <c r="F33" i="7"/>
  <c r="H8" i="7"/>
  <c r="H12" i="7" s="1"/>
  <c r="J8" i="7"/>
  <c r="J12" i="7" s="1"/>
  <c r="K8" i="7"/>
  <c r="K12" i="7" s="1"/>
  <c r="L8" i="7"/>
  <c r="L12" i="7" s="1"/>
  <c r="Q10" i="7"/>
  <c r="N8" i="7"/>
  <c r="N12" i="7" s="1"/>
  <c r="I8" i="7"/>
  <c r="I12" i="7" s="1"/>
  <c r="M8" i="7"/>
  <c r="M12" i="7" s="1"/>
  <c r="O8" i="7"/>
  <c r="O12" i="7" s="1"/>
  <c r="Q9" i="7"/>
  <c r="G8" i="7"/>
  <c r="G12" i="7" s="1"/>
  <c r="D12" i="7"/>
  <c r="BA34" i="5"/>
  <c r="BA32" i="5"/>
  <c r="BC32" i="5" s="1"/>
  <c r="BA33" i="5"/>
  <c r="BC33" i="5" s="1"/>
  <c r="O33" i="7" l="1"/>
  <c r="N3" i="11"/>
  <c r="N5" i="11" s="1"/>
  <c r="N1" i="11" s="1"/>
  <c r="N2" i="11" s="1"/>
  <c r="N33" i="7"/>
  <c r="M3" i="11"/>
  <c r="M5" i="11" s="1"/>
  <c r="M1" i="11" s="1"/>
  <c r="M2" i="11" s="1"/>
  <c r="M33" i="7"/>
  <c r="L3" i="11"/>
  <c r="L5" i="11" s="1"/>
  <c r="L1" i="11" s="1"/>
  <c r="L2" i="11" s="1"/>
  <c r="L33" i="7"/>
  <c r="K3" i="11"/>
  <c r="K5" i="11" s="1"/>
  <c r="K1" i="11" s="1"/>
  <c r="K2" i="11" s="1"/>
  <c r="K33" i="7"/>
  <c r="J3" i="11"/>
  <c r="J5" i="11" s="1"/>
  <c r="J1" i="11" s="1"/>
  <c r="J2" i="11" s="1"/>
  <c r="J19" i="11" s="1"/>
  <c r="J33" i="7"/>
  <c r="I3" i="11"/>
  <c r="I5" i="11" s="1"/>
  <c r="I1" i="11" s="1"/>
  <c r="I2" i="11" s="1"/>
  <c r="I19" i="11" s="1"/>
  <c r="I33" i="7"/>
  <c r="H3" i="11"/>
  <c r="H5" i="11" s="1"/>
  <c r="H1" i="11" s="1"/>
  <c r="H2" i="11" s="1"/>
  <c r="H19" i="11" s="1"/>
  <c r="H33" i="7"/>
  <c r="G3" i="11"/>
  <c r="G5" i="11" s="1"/>
  <c r="G1" i="11" s="1"/>
  <c r="G2" i="11" s="1"/>
  <c r="G25" i="11" s="1"/>
  <c r="G33" i="7"/>
  <c r="F3" i="11"/>
  <c r="F5" i="11" s="1"/>
  <c r="F1" i="11" s="1"/>
  <c r="F2" i="11" s="1"/>
  <c r="F25" i="11" s="1"/>
  <c r="D33" i="7"/>
  <c r="C3" i="11"/>
  <c r="E25" i="11"/>
  <c r="E8" i="11"/>
  <c r="E19" i="11"/>
  <c r="F5" i="10"/>
  <c r="F5" i="7"/>
  <c r="E5" i="10"/>
  <c r="E5" i="7"/>
  <c r="H5" i="10"/>
  <c r="H5" i="7"/>
  <c r="I5" i="10"/>
  <c r="I5" i="7"/>
  <c r="D19" i="11"/>
  <c r="D8" i="11"/>
  <c r="D25" i="11"/>
  <c r="J5" i="10"/>
  <c r="J5" i="7"/>
  <c r="G5" i="10"/>
  <c r="G5" i="7"/>
  <c r="K5" i="10"/>
  <c r="K5" i="7"/>
  <c r="D5" i="7"/>
  <c r="D5" i="10"/>
  <c r="Q22" i="11"/>
  <c r="R20" i="11"/>
  <c r="Q8" i="7"/>
  <c r="Q12" i="7" s="1"/>
  <c r="Q33" i="7" s="1"/>
  <c r="I8" i="11" l="1"/>
  <c r="N25" i="11"/>
  <c r="N19" i="11"/>
  <c r="N8" i="11"/>
  <c r="M25" i="11"/>
  <c r="M19" i="11"/>
  <c r="M8" i="11"/>
  <c r="L25" i="11"/>
  <c r="L8" i="11"/>
  <c r="L19" i="11"/>
  <c r="K25" i="11"/>
  <c r="K19" i="11"/>
  <c r="K8" i="11"/>
  <c r="J25" i="11"/>
  <c r="J8" i="11"/>
  <c r="I25" i="11"/>
  <c r="H25" i="11"/>
  <c r="H8" i="11"/>
  <c r="G19" i="11"/>
  <c r="G8" i="11"/>
  <c r="F8" i="11"/>
  <c r="F19" i="11"/>
  <c r="Q3" i="11"/>
  <c r="Q5" i="11" s="1"/>
  <c r="C5" i="11"/>
  <c r="C1" i="11" s="1"/>
  <c r="C2" i="11" s="1"/>
  <c r="C8" i="11" l="1"/>
  <c r="C19" i="11"/>
  <c r="C25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<sst xmlns="http://schemas.openxmlformats.org/spreadsheetml/2006/main" count="251" uniqueCount="93">
  <si>
    <t>Dom</t>
  </si>
  <si>
    <t>Oszczędności</t>
  </si>
  <si>
    <t>Rozrywka</t>
  </si>
  <si>
    <t>Data startowa</t>
  </si>
  <si>
    <t>Rok</t>
  </si>
  <si>
    <t>Miesiąc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</si>
  <si>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</si>
  <si>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</si>
  <si>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</si>
  <si>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</si>
  <si>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</si>
  <si>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</si>
  <si>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</si>
  <si>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</si>
  <si>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</si>
  <si>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</si>
  <si>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</si>
  <si>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</si>
  <si>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mapping_months</t>
  </si>
  <si>
    <t>Styczeń</t>
  </si>
  <si>
    <t>Luty</t>
  </si>
  <si>
    <t>Marzec</t>
  </si>
  <si>
    <t>Kwiecień</t>
  </si>
  <si>
    <t>Maj</t>
  </si>
  <si>
    <t>Czerwiec</t>
  </si>
  <si>
    <t>Lipiec</t>
  </si>
  <si>
    <t>Sierpień</t>
  </si>
  <si>
    <t>Wrzesień</t>
  </si>
  <si>
    <t>Październik</t>
  </si>
  <si>
    <t>Listopad</t>
  </si>
  <si>
    <t>Grudzień</t>
  </si>
  <si>
    <t>lkp_years</t>
  </si>
  <si>
    <t>Wypłata</t>
  </si>
  <si>
    <t>CEL</t>
  </si>
  <si>
    <t>REAL</t>
  </si>
  <si>
    <t>+/-</t>
  </si>
  <si>
    <t>USTAWIENIA</t>
  </si>
  <si>
    <t>Własne potrzeby</t>
  </si>
  <si>
    <t>Łącznie</t>
  </si>
  <si>
    <t>(odejmowane od Dom)</t>
  </si>
  <si>
    <t>months in current report</t>
  </si>
  <si>
    <t>current month</t>
  </si>
  <si>
    <t>x</t>
  </si>
  <si>
    <t>ZAKŁADKI</t>
  </si>
  <si>
    <t>Budżet</t>
  </si>
  <si>
    <t>Nasze finanse</t>
  </si>
  <si>
    <t>PRZYCHODY</t>
  </si>
  <si>
    <t>Wypłaty</t>
  </si>
  <si>
    <t>Inne</t>
  </si>
  <si>
    <t>KOSZTY</t>
  </si>
  <si>
    <t>Czynsz</t>
  </si>
  <si>
    <t>Prąd</t>
  </si>
  <si>
    <t>Gaz</t>
  </si>
  <si>
    <t>Zakupy standardowe</t>
  </si>
  <si>
    <t>Paliwo</t>
  </si>
  <si>
    <t>Samochód</t>
  </si>
  <si>
    <t>&gt; Dom</t>
  </si>
  <si>
    <t>&gt; Oszczędności</t>
  </si>
  <si>
    <t>ZYSK LUB STRATA</t>
  </si>
  <si>
    <t>AKTYWA</t>
  </si>
  <si>
    <t>PASYWA</t>
  </si>
  <si>
    <t>NETTO</t>
  </si>
  <si>
    <t>Rachunek bieżący</t>
  </si>
  <si>
    <t>Lokaty</t>
  </si>
  <si>
    <t>Akcje</t>
  </si>
  <si>
    <t>Fundusze</t>
  </si>
  <si>
    <t>Koszty łącznie</t>
  </si>
  <si>
    <t>Aktywa łącznie</t>
  </si>
  <si>
    <t>Inwestycje łącznie</t>
  </si>
  <si>
    <t>Kredyt hipoteczny</t>
  </si>
  <si>
    <t>Kredyt</t>
  </si>
  <si>
    <t>Ta zakładka zawiera informacje o tym ile wynosiły wpływy na nasze indywidualne konta (Wypłata), ile powinniśmy byli przelać na konto wspólne (CEL) i ile faktycznie przelaliśmy (REAL).</t>
  </si>
  <si>
    <t>Wpływy</t>
  </si>
  <si>
    <t>Koszty</t>
  </si>
  <si>
    <t>Zysk lub strata</t>
  </si>
  <si>
    <t>analiza kosztów</t>
  </si>
  <si>
    <t>Zakupy</t>
  </si>
  <si>
    <t>analiza bilansu</t>
  </si>
  <si>
    <t>analiza aktywów</t>
  </si>
  <si>
    <t>na koniec okresu</t>
  </si>
  <si>
    <t>za cały okres</t>
  </si>
  <si>
    <t>Oszczędności i lokaty</t>
  </si>
  <si>
    <t>Aktywa</t>
  </si>
  <si>
    <t>Pasywa</t>
  </si>
  <si>
    <t>Internet i TV</t>
  </si>
  <si>
    <t>Netto</t>
  </si>
  <si>
    <t>current date</t>
  </si>
  <si>
    <t>DODATKOWE FUNKCJE</t>
  </si>
  <si>
    <t>Person1</t>
  </si>
  <si>
    <t>Person2</t>
  </si>
  <si>
    <t>Zakupy specjalne</t>
  </si>
  <si>
    <t>&gt;</t>
  </si>
  <si>
    <t>Rozkład kosztów w ciągu roku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</si>
</sst>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8"/>
      <color theme="1"/>
      <name val="Calibri"/>
      <family val="2"/>
      <charset val="238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name val="Calibri"/>
      <family val="2"/>
      <scheme val="minor"/>
    </font>
    <font>
      <b/>
      <i/>
      <sz val="18"/>
      <color rgb="FF0000FF"/>
      <name val="Calibri"/>
      <family val="2"/>
      <charset val="238"/>
      <scheme val="minor"/>
    </font>
    <font>
      <sz val="8"/>
      <color theme="1"/>
      <name val="Calibri"/>
      <family val="2"/>
      <scheme val="minor"/>
    </font>
    <font>
      <b/>
      <i/>
      <sz val="28"/>
      <color rgb="FF0000FF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  <font>
      <b/>
      <sz val="8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b/>
      <i/>
      <sz val="11"/>
      <color rgb="FF0000FF"/>
      <name val="Calibri"/>
      <family val="2"/>
      <charset val="23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theme="0" tint="-0.249977111117893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/>
      <top/>
      <bottom style="double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/>
      <diagonal/>
    </border>
  </borders>
  <cellStyleXfs count="2">
    <xf numFmtId="0" fontId="0" fillId="0" borderId="0"/>
    <xf numFmtId="9" fontId="14" fillId="0" borderId="0" applyFont="0" applyFill="0" applyBorder="0" applyAlignment="0" applyProtection="0"/>
  </cellStyleXfs>
  <cellXfs count="51">
    <xf numFmtId="0" fontId="0" fillId="0" borderId="0" xfId="0"/>
    <xf numFmtId="0" fontId="3" fillId="0" borderId="0" xfId="0" applyFont="1"/>
    <xf numFmtId="14" fontId="0" fillId="0" borderId="0" xfId="0" applyNumberFormat="1"/>
    <xf numFmtId="0" fontId="4" fillId="0" borderId="0" xfId="0" applyFont="1"/>
    <xf numFmtId="0" fontId="6" fillId="0" borderId="0" xfId="0" applyFont="1"/>
    <xf numFmtId="0" fontId="8" fillId="0" borderId="0" xfId="0" applyFont="1"/>
    <xf numFmtId="4" fontId="0" fillId="0" borderId="0" xfId="0" applyNumberFormat="1"/>
    <xf numFmtId="4" fontId="0" fillId="0" borderId="1" xfId="0" applyNumberFormat="1" applyBorder="1"/>
    <xf numFmtId="4" fontId="3" fillId="0" borderId="0" xfId="0" applyNumberFormat="1" applyFont="1" applyAlignment="1">
      <alignment horizontal="center"/>
    </xf>
    <xf numFmtId="4" fontId="3" fillId="0" borderId="0" xfId="0" quotePrefix="1" applyNumberFormat="1" applyFont="1" applyAlignment="1">
      <alignment horizontal="center"/>
    </xf>
    <xf numFmtId="4" fontId="0" fillId="2" borderId="2" xfId="0" applyNumberFormat="1" applyFill="1" applyBorder="1"/>
    <xf numFmtId="4" fontId="0" fillId="3" borderId="2" xfId="0" applyNumberFormat="1" applyFill="1" applyBorder="1"/>
    <xf numFmtId="0" fontId="9" fillId="0" borderId="0" xfId="0" applyFont="1" applyAlignment="1">
      <alignment vertical="top"/>
    </xf>
    <xf numFmtId="4" fontId="2" fillId="3" borderId="2" xfId="0" applyNumberFormat="1" applyFont="1" applyFill="1" applyBorder="1"/>
    <xf numFmtId="4" fontId="1" fillId="0" borderId="0" xfId="0" applyNumberFormat="1" applyFont="1"/>
    <xf numFmtId="0" fontId="0" fillId="0" borderId="4" xfId="0" applyBorder="1"/>
    <xf numFmtId="4" fontId="3" fillId="0" borderId="0" xfId="0" applyNumberFormat="1" applyFont="1"/>
    <xf numFmtId="0" fontId="2" fillId="3" borderId="0" xfId="0" applyFont="1" applyFill="1"/>
    <xf numFmtId="0" fontId="0" fillId="0" borderId="5" xfId="0" applyBorder="1"/>
    <xf numFmtId="0" fontId="10" fillId="0" borderId="0" xfId="0" applyFont="1"/>
    <xf numFmtId="0" fontId="0" fillId="0" borderId="6" xfId="0" applyBorder="1"/>
    <xf numFmtId="4" fontId="11" fillId="4" borderId="3" xfId="0" applyNumberFormat="1" applyFont="1" applyFill="1" applyBorder="1" applyAlignment="1">
      <alignment horizontal="left" vertical="center"/>
    </xf>
    <xf numFmtId="4" fontId="3" fillId="4" borderId="3" xfId="0" applyNumberFormat="1" applyFont="1" applyFill="1" applyBorder="1"/>
    <xf numFmtId="0" fontId="0" fillId="5" borderId="0" xfId="0" applyFill="1"/>
    <xf numFmtId="4" fontId="0" fillId="5" borderId="0" xfId="0" applyNumberFormat="1" applyFill="1"/>
    <xf numFmtId="4" fontId="0" fillId="2" borderId="0" xfId="0" applyNumberFormat="1" applyFill="1"/>
    <xf numFmtId="4" fontId="9" fillId="0" borderId="0" xfId="0" applyNumberFormat="1" applyFont="1"/>
    <xf numFmtId="4" fontId="0" fillId="0" borderId="6" xfId="0" applyNumberFormat="1" applyBorder="1"/>
    <xf numFmtId="4" fontId="10" fillId="0" borderId="0" xfId="0" applyNumberFormat="1" applyFont="1"/>
    <xf numFmtId="4" fontId="3" fillId="2" borderId="0" xfId="0" applyNumberFormat="1" applyFont="1" applyFill="1"/>
    <xf numFmtId="4" fontId="3" fillId="0" borderId="6" xfId="0" applyNumberFormat="1" applyFont="1" applyBorder="1"/>
    <xf numFmtId="4" fontId="3" fillId="2" borderId="0" xfId="0" applyNumberFormat="1" applyFont="1" applyFill="1" applyAlignment="1">
      <alignment horizontal="right"/>
    </xf>
    <xf numFmtId="4" fontId="6" fillId="0" borderId="0" xfId="0" applyNumberFormat="1" applyFont="1"/>
    <xf numFmtId="4" fontId="11" fillId="4" borderId="0" xfId="0" applyNumberFormat="1" applyFont="1" applyFill="1" applyAlignment="1">
      <alignment horizontal="right"/>
    </xf>
    <xf numFmtId="0" fontId="0" fillId="0" borderId="5" xfId="0" applyBorder="1" applyAlignment="1">
      <alignment horizontal="right"/>
    </xf>
    <xf numFmtId="4" fontId="12" fillId="0" borderId="0" xfId="0" applyNumberFormat="1" applyFont="1"/>
    <xf numFmtId="4" fontId="13" fillId="0" borderId="0" xfId="0" applyNumberFormat="1" applyFont="1"/>
    <xf numFmtId="4" fontId="0" fillId="0" borderId="0" xfId="0" applyNumberFormat="1" applyAlignment="1">
      <alignment horizontal="right"/>
    </xf>
    <xf numFmtId="4" fontId="3" fillId="0" borderId="7" xfId="0" applyNumberFormat="1" applyFont="1" applyBorder="1"/>
    <xf numFmtId="4" fontId="0" fillId="0" borderId="7" xfId="0" applyNumberFormat="1" applyBorder="1"/>
    <xf numFmtId="4" fontId="3" fillId="0" borderId="8" xfId="0" applyNumberFormat="1" applyFont="1" applyBorder="1"/>
    <xf numFmtId="0" fontId="8" fillId="0" borderId="9" xfId="0" applyFont="1" applyBorder="1"/>
    <xf numFmtId="0" fontId="7" fillId="0" borderId="9" xfId="0" applyFont="1" applyBorder="1"/>
    <xf numFmtId="0" fontId="0" fillId="0" borderId="9" xfId="0" applyBorder="1"/>
    <xf numFmtId="0" fontId="0" fillId="2" borderId="0" xfId="0" applyFill="1"/>
    <xf numFmtId="0" fontId="0" fillId="2" borderId="10" xfId="0" applyFill="1" applyBorder="1"/>
    <xf numFmtId="9" fontId="0" fillId="0" borderId="0" xfId="1" applyFont="1" applyBorder="1"/>
    <xf numFmtId="4" fontId="0" fillId="0" borderId="0" xfId="0" quotePrefix="1" applyNumberFormat="1"/>
    <xf numFmtId="22" fontId="0" fillId="0" borderId="0" xfId="0" applyNumberFormat="1"/>
    <xf numFmtId="0" fontId="15" fillId="0" borderId="0" xfId="0" applyFont="1"/>
    <xf numFmtId="4" fontId="2" fillId="0" borderId="0" xfId="0" applyNumberFormat="1" applyFont="1"/>
  </cellXfs>
  <cellStyles count="2">
    <cellStyle name="Normal" xfId="0" builtinId="0"/>
    <cellStyle name="Percent" xfId="1" builtinId="5"/>
  </cellStyles>
  <dxfs count="119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rgb="FFFF0000"/>
      </font>
    </dxf>
    <dxf>
      <font>
        <color theme="0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rgb="FFFF000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ont>
        <color rgb="FFFF0000"/>
      </font>
    </dxf>
  </dxfs>
  <tableStyles count="0" defaultTableStyle="TableStyleMedium2" defaultPivotStyle="PivotStyleLight16"/>
  <colors>
    <mruColors>
      <color rgb="FF0000FF"/>
      <color rgb="FF00FFFF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Wpływy i koszty w ciągu roku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2"/>
          <c:tx>
            <c:strRef>
              <c:f>tech_tbls!$B$31</c:f>
              <c:strCache>
                <c:ptCount val="1"/>
                <c:pt idx="0">
                  <c:v>Oszczędności i lokaty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invertIfNegative val="0"/>
          <c:cat>
            <c:strLit>
              <c:ptCount val="6"/>
              <c:pt idx="0">
                <c:v>1.00</c:v>
              </c:pt>
              <c:pt idx="1">
                <c:v>2.00</c:v>
              </c:pt>
              <c:pt idx="2">
                <c:v>3.00</c:v>
              </c:pt>
              <c:pt idx="3">
                <c:v>4.00</c:v>
              </c:pt>
              <c:pt idx="4">
                <c:v>5.00</c:v>
              </c:pt>
              <c:pt idx="5">
                <c:v>6.00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tech_tbls!$C$31:$N$31</c15:sqref>
                  </c15:fullRef>
                </c:ext>
              </c:extLst>
              <c:f>tech_tbls!$C$31:$H$31</c:f>
              <c:numCache>
                <c:formatCode>#,##0.00</c:formatCode>
                <c:ptCount val="6"/>
                <c:pt idx="0">
                  <c:v>100000</c:v>
                </c:pt>
                <c:pt idx="1">
                  <c:v>102000</c:v>
                </c:pt>
                <c:pt idx="2">
                  <c:v>104000</c:v>
                </c:pt>
                <c:pt idx="3">
                  <c:v>107000</c:v>
                </c:pt>
                <c:pt idx="4">
                  <c:v>115000</c:v>
                </c:pt>
                <c:pt idx="5">
                  <c:v>119000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1A-4762-B2E2-7549D5E63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2379232"/>
        <c:axId val="902378752"/>
      </c:barChart>
      <c:lineChart>
        <c:grouping val="standard"/>
        <c:varyColors val="0"/>
        <c:ser>
          <c:idx val="1"/>
          <c:order val="1"/>
          <c:tx>
            <c:strRef>
              <c:f>tech_tbls!$B$4</c:f>
              <c:strCache>
                <c:ptCount val="1"/>
                <c:pt idx="0">
                  <c:v>Koszty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tech_tbls!$C$2:$N$2</c15:sqref>
                  </c15:fullRef>
                </c:ext>
              </c:extLst>
              <c:f>tech_tbls!$C$2:$H$2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tech_tbls!$C$4:$N$4</c15:sqref>
                  </c15:fullRef>
                </c:ext>
              </c:extLst>
              <c:f>tech_tbls!$C$4:$H$4</c:f>
              <c:numCache>
                <c:formatCode>#,##0.00</c:formatCode>
                <c:ptCount val="6"/>
                <c:pt idx="0">
                  <c:v>6140</c:v>
                </c:pt>
                <c:pt idx="1">
                  <c:v>6110</c:v>
                </c:pt>
                <c:pt idx="2">
                  <c:v>8502</c:v>
                </c:pt>
                <c:pt idx="3">
                  <c:v>7743</c:v>
                </c:pt>
                <c:pt idx="4">
                  <c:v>6600</c:v>
                </c:pt>
                <c:pt idx="5">
                  <c:v>6300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1A-4762-B2E2-7549D5E636B8}"/>
            </c:ext>
          </c:extLst>
        </c:ser>
        <c:ser>
          <c:idx val="0"/>
          <c:order val="0"/>
          <c:tx>
            <c:strRef>
              <c:f>tech_tbls!$B$3</c:f>
              <c:strCache>
                <c:ptCount val="1"/>
                <c:pt idx="0">
                  <c:v>Wpływy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tech_tbls!$C$2:$N$2</c15:sqref>
                  </c15:fullRef>
                </c:ext>
              </c:extLst>
              <c:f>tech_tbls!$C$2:$H$2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tech_tbls!$C$3:$N$3</c15:sqref>
                  </c15:fullRef>
                </c:ext>
              </c:extLst>
              <c:f>tech_tbls!$C$3:$H$3</c:f>
              <c:numCache>
                <c:formatCode>#,##0.00</c:formatCode>
                <c:ptCount val="6"/>
                <c:pt idx="0">
                  <c:v>11700</c:v>
                </c:pt>
                <c:pt idx="1">
                  <c:v>11625</c:v>
                </c:pt>
                <c:pt idx="2">
                  <c:v>11800</c:v>
                </c:pt>
                <c:pt idx="3">
                  <c:v>12050</c:v>
                </c:pt>
                <c:pt idx="4">
                  <c:v>14050</c:v>
                </c:pt>
                <c:pt idx="5">
                  <c:v>13350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1A-4762-B2E2-7549D5E63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4497088"/>
        <c:axId val="1774497568"/>
        <c:extLst/>
      </c:lineChart>
      <c:catAx>
        <c:axId val="177449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4497568"/>
        <c:crosses val="autoZero"/>
        <c:auto val="1"/>
        <c:lblAlgn val="ctr"/>
        <c:lblOffset val="100"/>
        <c:noMultiLvlLbl val="0"/>
      </c:catAx>
      <c:valAx>
        <c:axId val="177449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4497088"/>
        <c:crosses val="autoZero"/>
        <c:crossBetween val="between"/>
      </c:valAx>
      <c:valAx>
        <c:axId val="902378752"/>
        <c:scaling>
          <c:orientation val="minMax"/>
        </c:scaling>
        <c:delete val="0"/>
        <c:axPos val="r"/>
        <c:numFmt formatCode="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2379232"/>
        <c:crosses val="max"/>
        <c:crossBetween val="between"/>
      </c:valAx>
      <c:catAx>
        <c:axId val="902379232"/>
        <c:scaling>
          <c:orientation val="minMax"/>
        </c:scaling>
        <c:delete val="1"/>
        <c:axPos val="b"/>
        <c:majorTickMark val="out"/>
        <c:minorTickMark val="none"/>
        <c:tickLblPos val="nextTo"/>
        <c:crossAx val="902378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Rozkład kosztów w ciągu roku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tech_tbls!$B$9</c:f>
              <c:strCache>
                <c:ptCount val="1"/>
                <c:pt idx="0">
                  <c:v>Czynsz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tech_tbls!$C$9:$N$9</c15:sqref>
                  </c15:fullRef>
                </c:ext>
              </c:extLst>
              <c:f>tech_tbls!$C$9:$H$9</c:f>
              <c:numCache>
                <c:formatCode>#,##0.00</c:formatCode>
                <c:ptCount val="6"/>
                <c:pt idx="0">
                  <c:v>1200</c:v>
                </c:pt>
                <c:pt idx="1">
                  <c:v>1200</c:v>
                </c:pt>
                <c:pt idx="2">
                  <c:v>1200</c:v>
                </c:pt>
                <c:pt idx="3">
                  <c:v>1200</c:v>
                </c:pt>
                <c:pt idx="4">
                  <c:v>1250</c:v>
                </c:pt>
                <c:pt idx="5">
                  <c:v>1250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2A-45CB-BBBA-E31DF1210667}"/>
            </c:ext>
          </c:extLst>
        </c:ser>
        <c:ser>
          <c:idx val="1"/>
          <c:order val="1"/>
          <c:tx>
            <c:strRef>
              <c:f>tech_tbls!$B$10</c:f>
              <c:strCache>
                <c:ptCount val="1"/>
                <c:pt idx="0">
                  <c:v>Prąd</c:v>
                </c:pt>
              </c:strCache>
            </c:strRef>
          </c:tx>
          <c:spPr>
            <a:solidFill>
              <a:schemeClr val="accent1">
                <a:shade val="61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tech_tbls!$C$10:$N$10</c15:sqref>
                  </c15:fullRef>
                </c:ext>
              </c:extLst>
              <c:f>tech_tbls!$C$10:$H$10</c:f>
              <c:numCache>
                <c:formatCode>#,##0.00</c:formatCode>
                <c:ptCount val="6"/>
                <c:pt idx="0">
                  <c:v>1100</c:v>
                </c:pt>
                <c:pt idx="1">
                  <c:v>1050</c:v>
                </c:pt>
                <c:pt idx="2">
                  <c:v>900</c:v>
                </c:pt>
                <c:pt idx="3">
                  <c:v>805</c:v>
                </c:pt>
                <c:pt idx="4">
                  <c:v>830</c:v>
                </c:pt>
                <c:pt idx="5">
                  <c:v>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2A-45CB-BBBA-E31DF1210667}"/>
            </c:ext>
          </c:extLst>
        </c:ser>
        <c:ser>
          <c:idx val="2"/>
          <c:order val="2"/>
          <c:tx>
            <c:strRef>
              <c:f>tech_tbls!$B$11</c:f>
              <c:strCache>
                <c:ptCount val="1"/>
                <c:pt idx="0">
                  <c:v>Gaz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tech_tbls!$C$11:$N$11</c15:sqref>
                  </c15:fullRef>
                </c:ext>
              </c:extLst>
              <c:f>tech_tbls!$C$11:$H$11</c:f>
              <c:numCache>
                <c:formatCode>#,##0.00</c:formatCode>
                <c:ptCount val="6"/>
                <c:pt idx="0">
                  <c:v>50</c:v>
                </c:pt>
                <c:pt idx="1">
                  <c:v>45</c:v>
                </c:pt>
                <c:pt idx="2">
                  <c:v>52</c:v>
                </c:pt>
                <c:pt idx="3">
                  <c:v>48</c:v>
                </c:pt>
                <c:pt idx="4">
                  <c:v>45</c:v>
                </c:pt>
                <c:pt idx="5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2A-45CB-BBBA-E31DF1210667}"/>
            </c:ext>
          </c:extLst>
        </c:ser>
        <c:ser>
          <c:idx val="3"/>
          <c:order val="3"/>
          <c:tx>
            <c:strRef>
              <c:f>tech_tbls!$B$12</c:f>
              <c:strCache>
                <c:ptCount val="1"/>
                <c:pt idx="0">
                  <c:v>Internet i TV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tech_tbls!$C$12:$N$12</c15:sqref>
                  </c15:fullRef>
                </c:ext>
              </c:extLst>
              <c:f>tech_tbls!$C$12:$H$12</c:f>
              <c:numCache>
                <c:formatCode>#,##0.00</c:formatCode>
                <c:ptCount val="6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A2A-45CB-BBBA-E31DF1210667}"/>
            </c:ext>
          </c:extLst>
        </c:ser>
        <c:ser>
          <c:idx val="4"/>
          <c:order val="4"/>
          <c:tx>
            <c:strRef>
              <c:f>tech_tbls!$B$13</c:f>
              <c:strCache>
                <c:ptCount val="1"/>
                <c:pt idx="0">
                  <c:v>Kredyt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tech_tbls!$C$13:$N$13</c15:sqref>
                  </c15:fullRef>
                </c:ext>
              </c:extLst>
              <c:f>tech_tbls!$C$13:$H$13</c:f>
              <c:numCache>
                <c:formatCode>#,##0.00</c:formatCode>
                <c:ptCount val="6"/>
                <c:pt idx="0">
                  <c:v>2700</c:v>
                </c:pt>
                <c:pt idx="1">
                  <c:v>2700</c:v>
                </c:pt>
                <c:pt idx="2">
                  <c:v>2700</c:v>
                </c:pt>
                <c:pt idx="3">
                  <c:v>3000</c:v>
                </c:pt>
                <c:pt idx="4">
                  <c:v>3200</c:v>
                </c:pt>
                <c:pt idx="5">
                  <c:v>3200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A2A-45CB-BBBA-E31DF1210667}"/>
            </c:ext>
          </c:extLst>
        </c:ser>
        <c:ser>
          <c:idx val="5"/>
          <c:order val="5"/>
          <c:tx>
            <c:strRef>
              <c:f>tech_tbls!$B$14</c:f>
              <c:strCache>
                <c:ptCount val="1"/>
                <c:pt idx="0">
                  <c:v>Zakupy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tech_tbls!$C$14:$N$14</c15:sqref>
                  </c15:fullRef>
                </c:ext>
              </c:extLst>
              <c:f>tech_tbls!$C$14:$H$14</c:f>
              <c:numCache>
                <c:formatCode>#,##0.00</c:formatCode>
                <c:ptCount val="6"/>
                <c:pt idx="0">
                  <c:v>850</c:v>
                </c:pt>
                <c:pt idx="1">
                  <c:v>825</c:v>
                </c:pt>
                <c:pt idx="2">
                  <c:v>900</c:v>
                </c:pt>
                <c:pt idx="3">
                  <c:v>910</c:v>
                </c:pt>
                <c:pt idx="4">
                  <c:v>700</c:v>
                </c:pt>
                <c:pt idx="5">
                  <c:v>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A2A-45CB-BBBA-E31DF1210667}"/>
            </c:ext>
          </c:extLst>
        </c:ser>
        <c:ser>
          <c:idx val="6"/>
          <c:order val="6"/>
          <c:tx>
            <c:strRef>
              <c:f>tech_tbls!$B$16</c:f>
              <c:strCache>
                <c:ptCount val="1"/>
                <c:pt idx="0">
                  <c:v>Samochód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tech_tbls!$C$16:$N$16</c15:sqref>
                  </c15:fullRef>
                </c:ext>
              </c:extLst>
              <c:f>tech_tbls!$C$16:$H$16</c:f>
              <c:numCache>
                <c:formatCode>#,##0.00</c:formatCode>
                <c:ptCount val="6"/>
                <c:pt idx="0">
                  <c:v>150</c:v>
                </c:pt>
                <c:pt idx="1">
                  <c:v>200</c:v>
                </c:pt>
                <c:pt idx="2">
                  <c:v>2660</c:v>
                </c:pt>
                <c:pt idx="3">
                  <c:v>190</c:v>
                </c:pt>
                <c:pt idx="4">
                  <c:v>185</c:v>
                </c:pt>
                <c:pt idx="5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A2A-45CB-BBBA-E31DF1210667}"/>
            </c:ext>
          </c:extLst>
        </c:ser>
        <c:ser>
          <c:idx val="7"/>
          <c:order val="7"/>
          <c:tx>
            <c:strRef>
              <c:f>tech_tbls!$B$15</c:f>
              <c:strCache>
                <c:ptCount val="1"/>
                <c:pt idx="0">
                  <c:v>Zakupy specjalne</c:v>
                </c:pt>
              </c:strCache>
            </c:strRef>
          </c:tx>
          <c:spPr>
            <a:solidFill>
              <a:schemeClr val="accent1">
                <a:tint val="46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6"/>
              <c:pt idx="0">
                <c:v>Styczeń</c:v>
              </c:pt>
              <c:pt idx="1">
                <c:v>Luty</c:v>
              </c:pt>
              <c:pt idx="2">
                <c:v>Marzec</c:v>
              </c:pt>
              <c:pt idx="3">
                <c:v>Kwiecień</c:v>
              </c:pt>
              <c:pt idx="4">
                <c:v>Maj</c:v>
              </c:pt>
              <c:pt idx="5">
                <c:v>Czerwiec</c:v>
              </c:pt>
              <c:pt idx="6">
                <c:v>Wrzesień</c:v>
              </c:pt>
              <c:pt idx="7">
                <c:v>Październik</c:v>
              </c:pt>
              <c:pt idx="8">
                <c:v>Listopad</c:v>
              </c:pt>
              <c:pt idx="9">
                <c:v>Grudzień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tech_tbls!$C$15:$J$15</c15:sqref>
                  </c15:fullRef>
                </c:ext>
              </c:extLst>
              <c:f>tech_tbls!$C$15:$H$15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1500</c:v>
                </c:pt>
                <c:pt idx="4">
                  <c:v>300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6D-44B9-8655-D555C2EF21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71711904"/>
        <c:axId val="1771712864"/>
      </c:barChart>
      <c:catAx>
        <c:axId val="1771711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12864"/>
        <c:crosses val="autoZero"/>
        <c:auto val="1"/>
        <c:lblAlgn val="ctr"/>
        <c:lblOffset val="100"/>
        <c:noMultiLvlLbl val="0"/>
      </c:catAx>
      <c:valAx>
        <c:axId val="177171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11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Stosunek aktywów do pasywów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899-4414-81D9-2DD4801C74CB}"/>
              </c:ext>
            </c:extLst>
          </c:dPt>
          <c:dPt>
            <c:idx val="1"/>
            <c:bubble3D val="0"/>
            <c:spPr>
              <a:solidFill>
                <a:schemeClr val="bg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899-4414-81D9-2DD4801C74CB}"/>
              </c:ext>
            </c:extLst>
          </c:dPt>
          <c:cat>
            <c:strRef>
              <c:f>tech_tbls!$P$20:$P$21</c:f>
              <c:strCache>
                <c:ptCount val="2"/>
                <c:pt idx="0">
                  <c:v>Aktywa</c:v>
                </c:pt>
                <c:pt idx="1">
                  <c:v>Pasywa</c:v>
                </c:pt>
              </c:strCache>
            </c:strRef>
          </c:cat>
          <c:val>
            <c:numRef>
              <c:f>tech_tbls!$Q$20:$Q$21</c:f>
              <c:numCache>
                <c:formatCode>#,##0.00</c:formatCode>
                <c:ptCount val="2"/>
                <c:pt idx="0">
                  <c:v>204300</c:v>
                </c:pt>
                <c:pt idx="1">
                  <c:v>65000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899-4414-81D9-2DD4801C7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kumimoji="0" lang="pl-PL" sz="1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</a:rPr>
              <a:t>Rozkład aktywów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tech_tbls!$P$26:$P$29</c:f>
              <c:strCache>
                <c:ptCount val="4"/>
                <c:pt idx="0">
                  <c:v>Lokaty</c:v>
                </c:pt>
                <c:pt idx="1">
                  <c:v>Oszczędności</c:v>
                </c:pt>
                <c:pt idx="2">
                  <c:v>Fundusze</c:v>
                </c:pt>
                <c:pt idx="3">
                  <c:v>Akcje</c:v>
                </c:pt>
              </c:strCache>
            </c:strRef>
          </c:cat>
          <c:val>
            <c:numRef>
              <c:f>tech_tbls!$Q$26:$Q$29</c:f>
              <c:numCache>
                <c:formatCode>#,##0.00</c:formatCode>
                <c:ptCount val="4"/>
                <c:pt idx="0">
                  <c:v>40000</c:v>
                </c:pt>
                <c:pt idx="1">
                  <c:v>99000</c:v>
                </c:pt>
                <c:pt idx="2">
                  <c:v>45240</c:v>
                </c:pt>
                <c:pt idx="3">
                  <c:v>16560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A0-47C1-9436-40874E7D3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71712384"/>
        <c:axId val="1771701824"/>
      </c:barChart>
      <c:catAx>
        <c:axId val="17717123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01824"/>
        <c:crosses val="autoZero"/>
        <c:auto val="1"/>
        <c:lblAlgn val="ctr"/>
        <c:lblOffset val="100"/>
        <c:noMultiLvlLbl val="0"/>
      </c:catAx>
      <c:valAx>
        <c:axId val="1771701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12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BS!A1"/><Relationship Id="rId7" Type="http://schemas.openxmlformats.org/officeDocument/2006/relationships/chart" Target="../charts/chart4.xml"/><Relationship Id="rId2" Type="http://schemas.openxmlformats.org/officeDocument/2006/relationships/hyperlink" Target="#bud&#380;et!A1"/><Relationship Id="rId1" Type="http://schemas.openxmlformats.org/officeDocument/2006/relationships/hyperlink" Target="#PL!A1"/><Relationship Id="rId6" Type="http://schemas.openxmlformats.org/officeDocument/2006/relationships/chart" Target="../charts/chart3.xml"/><Relationship Id="rId5" Type="http://schemas.openxmlformats.org/officeDocument/2006/relationships/chart" Target="../charts/chart2.xml"/><Relationship Id="rId4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start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start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start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690563</xdr:colOff>
      <xdr:row>5</xdr:row>
      <xdr:rowOff>28575</xdr:rowOff>
    </xdr:from>
    <xdr:to>
      <xdr:col>4</xdr:col>
      <xdr:colOff>109538</xdr:colOff>
      <xdr:row>6</xdr:row>
      <xdr:rowOff>171450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6D95C1-7126-6EFC-50AA-07A4AC3F306E}"/>
            </a:ext>
          </a:extLst>
        </xdr:cNvPr>
        <xdr:cNvSpPr/>
      </xdr:nvSpPr>
      <xdr:spPr>
        <a:xfrm>
          <a:off x="1252538" y="1162050"/>
          <a:ext cx="866775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PL</a:t>
          </a:r>
        </a:p>
      </xdr:txBody>
    </xdr:sp>
    <xdr:clientData/>
  </xdr:twoCellAnchor>
  <xdr:twoCellAnchor>
    <xdr:from>
      <xdr:col>1</xdr:col>
      <xdr:colOff>0</xdr:colOff>
      <xdr:row>5</xdr:row>
      <xdr:rowOff>28575</xdr:rowOff>
    </xdr:from>
    <xdr:to>
      <xdr:col>2</xdr:col>
      <xdr:colOff>552450</xdr:colOff>
      <xdr:row>6</xdr:row>
      <xdr:rowOff>171450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899C8E3-CA83-439C-83BD-BEDD49472DA2}"/>
            </a:ext>
          </a:extLst>
        </xdr:cNvPr>
        <xdr:cNvSpPr/>
      </xdr:nvSpPr>
      <xdr:spPr>
        <a:xfrm>
          <a:off x="247650" y="1162050"/>
          <a:ext cx="866775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Budżet</a:t>
          </a:r>
        </a:p>
      </xdr:txBody>
    </xdr:sp>
    <xdr:clientData/>
  </xdr:twoCellAnchor>
  <xdr:twoCellAnchor>
    <xdr:from>
      <xdr:col>4</xdr:col>
      <xdr:colOff>247650</xdr:colOff>
      <xdr:row>5</xdr:row>
      <xdr:rowOff>28575</xdr:rowOff>
    </xdr:from>
    <xdr:to>
      <xdr:col>5</xdr:col>
      <xdr:colOff>504825</xdr:colOff>
      <xdr:row>6</xdr:row>
      <xdr:rowOff>171450</xdr:rowOff>
    </xdr:to>
    <xdr:sp macro="" textlink="">
      <xdr:nvSpPr>
        <xdr:cNvPr id="4" name="Rectangl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5FAF99-27D0-4690-85D8-01C5CF26A7DD}"/>
            </a:ext>
          </a:extLst>
        </xdr:cNvPr>
        <xdr:cNvSpPr/>
      </xdr:nvSpPr>
      <xdr:spPr>
        <a:xfrm>
          <a:off x="2257425" y="1162050"/>
          <a:ext cx="866775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BS</a:t>
          </a:r>
        </a:p>
      </xdr:txBody>
    </xdr:sp>
    <xdr:clientData/>
  </xdr:twoCellAnchor>
  <xdr:twoCellAnchor>
    <xdr:from>
      <xdr:col>7</xdr:col>
      <xdr:colOff>180975</xdr:colOff>
      <xdr:row>1</xdr:row>
      <xdr:rowOff>95250</xdr:rowOff>
    </xdr:from>
    <xdr:to>
      <xdr:col>19</xdr:col>
      <xdr:colOff>466725</xdr:colOff>
      <xdr:row>25</xdr:row>
      <xdr:rowOff>47624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08A1F27-9310-4904-A117-8B890AF460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66674</xdr:colOff>
      <xdr:row>1</xdr:row>
      <xdr:rowOff>95250</xdr:rowOff>
    </xdr:from>
    <xdr:to>
      <xdr:col>32</xdr:col>
      <xdr:colOff>351074</xdr:colOff>
      <xdr:row>25</xdr:row>
      <xdr:rowOff>47100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2CF3EC8-5950-4E58-ABF8-F4823FD1CB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180975</xdr:colOff>
      <xdr:row>26</xdr:row>
      <xdr:rowOff>85724</xdr:rowOff>
    </xdr:from>
    <xdr:to>
      <xdr:col>15</xdr:col>
      <xdr:colOff>457200</xdr:colOff>
      <xdr:row>51</xdr:row>
      <xdr:rowOff>132824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A04C793-C1F2-454F-81CD-A8177726CA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95250</xdr:colOff>
      <xdr:row>26</xdr:row>
      <xdr:rowOff>85725</xdr:rowOff>
    </xdr:from>
    <xdr:to>
      <xdr:col>32</xdr:col>
      <xdr:colOff>342900</xdr:colOff>
      <xdr:row>51</xdr:row>
      <xdr:rowOff>132825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19942F1-2ABF-47DA-86A5-58E73A9EB8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523875</xdr:colOff>
      <xdr:row>35</xdr:row>
      <xdr:rowOff>95250</xdr:rowOff>
    </xdr:from>
    <xdr:to>
      <xdr:col>13</xdr:col>
      <xdr:colOff>76200</xdr:colOff>
      <xdr:row>40</xdr:row>
      <xdr:rowOff>133350</xdr:rowOff>
    </xdr:to>
    <xdr:sp macro="" textlink="tech_tbls!R20">
      <xdr:nvSpPr>
        <xdr:cNvPr id="9" name="Rectangle 8">
          <a:extLst>
            <a:ext uri="{FF2B5EF4-FFF2-40B4-BE49-F238E27FC236}">
              <a16:creationId xmlns:a16="http://schemas.microsoft.com/office/drawing/2014/main" id="{A5394451-1357-5D3F-3BB2-CF66E16C4FD2}"/>
            </a:ext>
          </a:extLst>
        </xdr:cNvPr>
        <xdr:cNvSpPr/>
      </xdr:nvSpPr>
      <xdr:spPr>
        <a:xfrm>
          <a:off x="5219700" y="6953250"/>
          <a:ext cx="1990725" cy="990600"/>
        </a:xfrm>
        <a:prstGeom prst="rect">
          <a:avLst/>
        </a:prstGeom>
        <a:noFill/>
        <a:ln>
          <a:noFill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3CE9427B-F661-462F-8B84-BB4C181879C9}" type="TxLink">
            <a:rPr lang="en-US" sz="6000">
              <a:solidFill>
                <a:schemeClr val="dk1"/>
              </a:solidFill>
              <a:latin typeface="+mn-lt"/>
              <a:ea typeface="+mn-ea"/>
              <a:cs typeface="+mn-cs"/>
            </a:rPr>
            <a:pPr marL="0" indent="0" algn="ctr"/>
            <a:t>76%</a:t>
          </a:fld>
          <a:endParaRPr lang="en-GB" sz="60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390525</xdr:colOff>
      <xdr:row>40</xdr:row>
      <xdr:rowOff>0</xdr:rowOff>
    </xdr:from>
    <xdr:to>
      <xdr:col>12</xdr:col>
      <xdr:colOff>238125</xdr:colOff>
      <xdr:row>41</xdr:row>
      <xdr:rowOff>104775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7F48F1E4-CAF5-9BE5-7767-AFCB1EE732CA}"/>
            </a:ext>
          </a:extLst>
        </xdr:cNvPr>
        <xdr:cNvSpPr txBox="1"/>
      </xdr:nvSpPr>
      <xdr:spPr>
        <a:xfrm>
          <a:off x="5695950" y="7810500"/>
          <a:ext cx="1066800" cy="2952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400"/>
            <a:t>%</a:t>
          </a:r>
          <a:r>
            <a:rPr lang="en-GB" sz="1400" baseline="0"/>
            <a:t> </a:t>
          </a:r>
          <a:r>
            <a:rPr lang="pl-PL" sz="1400" baseline="0"/>
            <a:t>a</a:t>
          </a:r>
          <a:r>
            <a:rPr lang="en-GB" sz="1400" baseline="0"/>
            <a:t>ktyw</a:t>
          </a:r>
          <a:r>
            <a:rPr lang="pl-PL" sz="1400" baseline="0"/>
            <a:t>ów</a:t>
          </a:r>
        </a:p>
      </xdr:txBody>
    </xdr:sp>
    <xdr:clientData/>
  </xdr:twoCellAnchor>
  <xdr:twoCellAnchor>
    <xdr:from>
      <xdr:col>1</xdr:col>
      <xdr:colOff>19050</xdr:colOff>
      <xdr:row>21</xdr:row>
      <xdr:rowOff>85724</xdr:rowOff>
    </xdr:from>
    <xdr:to>
      <xdr:col>2</xdr:col>
      <xdr:colOff>609600</xdr:colOff>
      <xdr:row>23</xdr:row>
      <xdr:rowOff>86324</xdr:rowOff>
    </xdr:to>
    <xdr:sp macro="[0]!filter_charts_main" textlink="">
      <xdr:nvSpPr>
        <xdr:cNvPr id="11" name="Rectangle 10">
          <a:extLst>
            <a:ext uri="{FF2B5EF4-FFF2-40B4-BE49-F238E27FC236}">
              <a16:creationId xmlns:a16="http://schemas.microsoft.com/office/drawing/2014/main" id="{80DA79B6-9B5C-FFDB-204F-9F7BC1AC8516}"/>
            </a:ext>
          </a:extLst>
        </xdr:cNvPr>
        <xdr:cNvSpPr/>
      </xdr:nvSpPr>
      <xdr:spPr>
        <a:xfrm>
          <a:off x="266700" y="4276724"/>
          <a:ext cx="904875" cy="3816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Odśwież wykresy</a:t>
          </a:r>
        </a:p>
      </xdr:txBody>
    </xdr:sp>
    <xdr:clientData/>
  </xdr:twoCellAnchor>
  <xdr:twoCellAnchor>
    <xdr:from>
      <xdr:col>2</xdr:col>
      <xdr:colOff>705487</xdr:colOff>
      <xdr:row>21</xdr:row>
      <xdr:rowOff>85724</xdr:rowOff>
    </xdr:from>
    <xdr:to>
      <xdr:col>4</xdr:col>
      <xdr:colOff>161287</xdr:colOff>
      <xdr:row>23</xdr:row>
      <xdr:rowOff>85724</xdr:rowOff>
    </xdr:to>
    <xdr:sp macro="[0]!unhide_tech_sheets" textlink="">
      <xdr:nvSpPr>
        <xdr:cNvPr id="12" name="Rectangle 11">
          <a:extLst>
            <a:ext uri="{FF2B5EF4-FFF2-40B4-BE49-F238E27FC236}">
              <a16:creationId xmlns:a16="http://schemas.microsoft.com/office/drawing/2014/main" id="{A3E0A144-395A-4CD9-A5E2-585549ACF11E}"/>
            </a:ext>
          </a:extLst>
        </xdr:cNvPr>
        <xdr:cNvSpPr/>
      </xdr:nvSpPr>
      <xdr:spPr>
        <a:xfrm>
          <a:off x="1267462" y="4276724"/>
          <a:ext cx="903600" cy="3810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Pokaż zakładki techniczne</a:t>
          </a:r>
        </a:p>
      </xdr:txBody>
    </xdr:sp>
    <xdr:clientData/>
  </xdr:twoCellAnchor>
  <xdr:twoCellAnchor>
    <xdr:from>
      <xdr:col>4</xdr:col>
      <xdr:colOff>257175</xdr:colOff>
      <xdr:row>21</xdr:row>
      <xdr:rowOff>85724</xdr:rowOff>
    </xdr:from>
    <xdr:to>
      <xdr:col>5</xdr:col>
      <xdr:colOff>551175</xdr:colOff>
      <xdr:row>23</xdr:row>
      <xdr:rowOff>85724</xdr:rowOff>
    </xdr:to>
    <xdr:sp macro="[0]!clear_all" textlink="">
      <xdr:nvSpPr>
        <xdr:cNvPr id="13" name="Rectangle 12">
          <a:extLst>
            <a:ext uri="{FF2B5EF4-FFF2-40B4-BE49-F238E27FC236}">
              <a16:creationId xmlns:a16="http://schemas.microsoft.com/office/drawing/2014/main" id="{5AEFACFB-6EE6-4D47-9B32-9DC4CB22A287}"/>
            </a:ext>
          </a:extLst>
        </xdr:cNvPr>
        <xdr:cNvSpPr/>
      </xdr:nvSpPr>
      <xdr:spPr>
        <a:xfrm>
          <a:off x="2266950" y="4276724"/>
          <a:ext cx="903600" cy="3810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  <a:r>
            <a:rPr lang="pl-PL" sz="900" baseline="0">
              <a:solidFill>
                <a:schemeClr val="dk1"/>
              </a:solidFill>
              <a:latin typeface="+mn-lt"/>
              <a:ea typeface="+mn-ea"/>
              <a:cs typeface="+mn-cs"/>
            </a:rPr>
            <a:t> wszystko</a:t>
          </a:r>
          <a:endParaRPr lang="pl-PL" sz="9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19050</xdr:colOff>
      <xdr:row>26</xdr:row>
      <xdr:rowOff>104775</xdr:rowOff>
    </xdr:from>
    <xdr:to>
      <xdr:col>2</xdr:col>
      <xdr:colOff>609600</xdr:colOff>
      <xdr:row>28</xdr:row>
      <xdr:rowOff>105375</xdr:rowOff>
    </xdr:to>
    <xdr:sp macro="[0]!chart_5_standard_stacked" textlink="">
      <xdr:nvSpPr>
        <xdr:cNvPr id="14" name="Rectangle 13">
          <a:extLst>
            <a:ext uri="{FF2B5EF4-FFF2-40B4-BE49-F238E27FC236}">
              <a16:creationId xmlns:a16="http://schemas.microsoft.com/office/drawing/2014/main" id="{9B5AC37E-A711-4A77-A4EB-57A905A92C94}"/>
            </a:ext>
          </a:extLst>
        </xdr:cNvPr>
        <xdr:cNvSpPr/>
      </xdr:nvSpPr>
      <xdr:spPr>
        <a:xfrm>
          <a:off x="266700" y="5248275"/>
          <a:ext cx="904875" cy="3816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Standardowe słupki</a:t>
          </a:r>
        </a:p>
      </xdr:txBody>
    </xdr:sp>
    <xdr:clientData/>
  </xdr:twoCellAnchor>
  <xdr:twoCellAnchor>
    <xdr:from>
      <xdr:col>2</xdr:col>
      <xdr:colOff>704850</xdr:colOff>
      <xdr:row>26</xdr:row>
      <xdr:rowOff>104775</xdr:rowOff>
    </xdr:from>
    <xdr:to>
      <xdr:col>4</xdr:col>
      <xdr:colOff>161925</xdr:colOff>
      <xdr:row>28</xdr:row>
      <xdr:rowOff>105375</xdr:rowOff>
    </xdr:to>
    <xdr:sp macro="[0]!chart_5_100_percent_stacked" textlink="">
      <xdr:nvSpPr>
        <xdr:cNvPr id="15" name="Rectangle 14">
          <a:extLst>
            <a:ext uri="{FF2B5EF4-FFF2-40B4-BE49-F238E27FC236}">
              <a16:creationId xmlns:a16="http://schemas.microsoft.com/office/drawing/2014/main" id="{433F5E15-A0A0-426C-A666-635675C2FBC0}"/>
            </a:ext>
          </a:extLst>
        </xdr:cNvPr>
        <xdr:cNvSpPr/>
      </xdr:nvSpPr>
      <xdr:spPr>
        <a:xfrm>
          <a:off x="1266825" y="5248275"/>
          <a:ext cx="904875" cy="3816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Słupki</a:t>
          </a:r>
          <a:r>
            <a:rPr lang="pl-PL" sz="900" baseline="0">
              <a:solidFill>
                <a:schemeClr val="dk1"/>
              </a:solidFill>
              <a:latin typeface="+mn-lt"/>
              <a:ea typeface="+mn-ea"/>
              <a:cs typeface="+mn-cs"/>
            </a:rPr>
            <a:t> 100%</a:t>
          </a:r>
          <a:endParaRPr lang="pl-PL" sz="9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19050</xdr:rowOff>
    </xdr:from>
    <xdr:to>
      <xdr:col>1</xdr:col>
      <xdr:colOff>446924</xdr:colOff>
      <xdr:row>0</xdr:row>
      <xdr:rowOff>352425</xdr:rowOff>
    </xdr:to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5B0DCB2-5D16-4249-ACF5-0DEDCE2EC644}"/>
            </a:ext>
          </a:extLst>
        </xdr:cNvPr>
        <xdr:cNvSpPr/>
      </xdr:nvSpPr>
      <xdr:spPr>
        <a:xfrm>
          <a:off x="28574" y="19050"/>
          <a:ext cx="664879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Start</a:t>
          </a:r>
        </a:p>
      </xdr:txBody>
    </xdr:sp>
    <xdr:clientData/>
  </xdr:twoCellAnchor>
  <xdr:twoCellAnchor>
    <xdr:from>
      <xdr:col>1</xdr:col>
      <xdr:colOff>527797</xdr:colOff>
      <xdr:row>0</xdr:row>
      <xdr:rowOff>19050</xdr:rowOff>
    </xdr:from>
    <xdr:to>
      <xdr:col>1</xdr:col>
      <xdr:colOff>1189875</xdr:colOff>
      <xdr:row>0</xdr:row>
      <xdr:rowOff>353850</xdr:rowOff>
    </xdr:to>
    <xdr:sp macro="[0]!clear_budget" textlink="">
      <xdr:nvSpPr>
        <xdr:cNvPr id="5" name="Rectangle 4">
          <a:extLst>
            <a:ext uri="{FF2B5EF4-FFF2-40B4-BE49-F238E27FC236}">
              <a16:creationId xmlns:a16="http://schemas.microsoft.com/office/drawing/2014/main" id="{241F85A0-D82D-E8C8-F608-B169D3AB54D1}"/>
            </a:ext>
          </a:extLst>
        </xdr:cNvPr>
        <xdr:cNvSpPr/>
      </xdr:nvSpPr>
      <xdr:spPr>
        <a:xfrm>
          <a:off x="774326" y="19050"/>
          <a:ext cx="662078" cy="3348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l-PL" sz="11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19050</xdr:rowOff>
    </xdr:from>
    <xdr:to>
      <xdr:col>1</xdr:col>
      <xdr:colOff>446924</xdr:colOff>
      <xdr:row>0</xdr:row>
      <xdr:rowOff>352425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EEAA2B-18A4-4D40-BBD1-B22171814C5C}"/>
            </a:ext>
          </a:extLst>
        </xdr:cNvPr>
        <xdr:cNvSpPr/>
      </xdr:nvSpPr>
      <xdr:spPr>
        <a:xfrm>
          <a:off x="28574" y="19050"/>
          <a:ext cx="666000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Start</a:t>
          </a:r>
        </a:p>
      </xdr:txBody>
    </xdr:sp>
    <xdr:clientData/>
  </xdr:twoCellAnchor>
  <xdr:twoCellAnchor>
    <xdr:from>
      <xdr:col>1</xdr:col>
      <xdr:colOff>523875</xdr:colOff>
      <xdr:row>0</xdr:row>
      <xdr:rowOff>19050</xdr:rowOff>
    </xdr:from>
    <xdr:to>
      <xdr:col>1</xdr:col>
      <xdr:colOff>1185953</xdr:colOff>
      <xdr:row>0</xdr:row>
      <xdr:rowOff>353850</xdr:rowOff>
    </xdr:to>
    <xdr:sp macro="[0]!clear_PL" textlink="">
      <xdr:nvSpPr>
        <xdr:cNvPr id="4" name="Rectangle 3">
          <a:extLst>
            <a:ext uri="{FF2B5EF4-FFF2-40B4-BE49-F238E27FC236}">
              <a16:creationId xmlns:a16="http://schemas.microsoft.com/office/drawing/2014/main" id="{FFCBE1B9-A28B-4A79-9BA8-3964B5E474CA}"/>
            </a:ext>
          </a:extLst>
        </xdr:cNvPr>
        <xdr:cNvSpPr/>
      </xdr:nvSpPr>
      <xdr:spPr>
        <a:xfrm>
          <a:off x="771525" y="19050"/>
          <a:ext cx="662078" cy="3348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l-PL" sz="11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19050</xdr:rowOff>
    </xdr:from>
    <xdr:to>
      <xdr:col>1</xdr:col>
      <xdr:colOff>446924</xdr:colOff>
      <xdr:row>0</xdr:row>
      <xdr:rowOff>352425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F6913A8-04DB-41D2-AC1D-D77BFE3074B4}"/>
            </a:ext>
          </a:extLst>
        </xdr:cNvPr>
        <xdr:cNvSpPr/>
      </xdr:nvSpPr>
      <xdr:spPr>
        <a:xfrm>
          <a:off x="28574" y="19050"/>
          <a:ext cx="666000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Start</a:t>
          </a:r>
        </a:p>
      </xdr:txBody>
    </xdr:sp>
    <xdr:clientData/>
  </xdr:twoCellAnchor>
  <xdr:twoCellAnchor>
    <xdr:from>
      <xdr:col>1</xdr:col>
      <xdr:colOff>523875</xdr:colOff>
      <xdr:row>0</xdr:row>
      <xdr:rowOff>19050</xdr:rowOff>
    </xdr:from>
    <xdr:to>
      <xdr:col>1</xdr:col>
      <xdr:colOff>1189875</xdr:colOff>
      <xdr:row>0</xdr:row>
      <xdr:rowOff>353850</xdr:rowOff>
    </xdr:to>
    <xdr:sp macro="[0]!clear_BS" textlink="">
      <xdr:nvSpPr>
        <xdr:cNvPr id="4" name="Rectangle 3">
          <a:extLst>
            <a:ext uri="{FF2B5EF4-FFF2-40B4-BE49-F238E27FC236}">
              <a16:creationId xmlns:a16="http://schemas.microsoft.com/office/drawing/2014/main" id="{4E160CFD-FACD-1E13-C9D6-55A9CEA95235}"/>
            </a:ext>
          </a:extLst>
        </xdr:cNvPr>
        <xdr:cNvSpPr/>
      </xdr:nvSpPr>
      <xdr:spPr>
        <a:xfrm>
          <a:off x="771525" y="19050"/>
          <a:ext cx="666000" cy="3348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11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  <a:endParaRPr lang="en-GB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36E25-8FBF-43BF-BF0A-33EF4AEDF325}">
  <sheetPr codeName="Sheet1">
    <tabColor rgb="FFFFFF00"/>
  </sheetPr>
  <dimension ref="B2:F33"/>
  <sheetViews>
    <sheetView workbookViewId="0">
      <selection activeCell="E22" sqref="E22"/>
    </sheetView>
  </sheetViews>
  <sheetFormatPr defaultRowHeight="15" x14ac:dyDescent="0.25"/>
  <cols>
    <col min="2" max="3" width="15.85546875" bestFit="1" customWidth="1"/>
    <col min="4" max="4" width="10.7109375" customWidth="1"/>
  </cols>
  <sheetData>
    <row r="2" spans="2:6" x14ac:dyDescent="0.25">
      <c r="B2" s="1" t="s">
        <v>18</v>
      </c>
      <c r="F2" s="1" t="s">
        <v>31</v>
      </c>
    </row>
    <row r="3" spans="2:6" x14ac:dyDescent="0.25">
      <c r="B3" t="s">
        <v>6</v>
      </c>
      <c r="C3" t="s">
        <v>19</v>
      </c>
      <c r="D3">
        <v>1</v>
      </c>
      <c r="F3">
        <f ca="1">YEAR(C17)</f>
        <v>2023</v>
      </c>
    </row>
    <row r="4" spans="2:6" x14ac:dyDescent="0.25">
      <c r="B4" t="s">
        <v>7</v>
      </c>
      <c r="C4" s="2" t="s">
        <v>20</v>
      </c>
      <c r="D4">
        <v>2</v>
      </c>
      <c r="F4">
        <f ca="1">F3+1</f>
        <v>2024</v>
      </c>
    </row>
    <row r="5" spans="2:6" x14ac:dyDescent="0.25">
      <c r="B5" t="s">
        <v>8</v>
      </c>
      <c r="C5" t="s">
        <v>21</v>
      </c>
      <c r="D5">
        <v>3</v>
      </c>
      <c r="F5">
        <f t="shared" ref="F5:F14" ca="1" si="0">F4+1</f>
        <v>2025</v>
      </c>
    </row>
    <row r="6" spans="2:6" x14ac:dyDescent="0.25">
      <c r="B6" t="s">
        <v>9</v>
      </c>
      <c r="C6" t="s">
        <v>22</v>
      </c>
      <c r="D6">
        <v>4</v>
      </c>
      <c r="F6">
        <f t="shared" ca="1" si="0"/>
        <v>2026</v>
      </c>
    </row>
    <row r="7" spans="2:6" x14ac:dyDescent="0.25">
      <c r="B7" t="s">
        <v>10</v>
      </c>
      <c r="C7" s="2" t="s">
        <v>23</v>
      </c>
      <c r="D7">
        <v>5</v>
      </c>
      <c r="F7">
        <f t="shared" ca="1" si="0"/>
        <v>2027</v>
      </c>
    </row>
    <row r="8" spans="2:6" x14ac:dyDescent="0.25">
      <c r="B8" t="s">
        <v>11</v>
      </c>
      <c r="C8" t="s">
        <v>24</v>
      </c>
      <c r="D8">
        <v>6</v>
      </c>
      <c r="F8">
        <f t="shared" ca="1" si="0"/>
        <v>2028</v>
      </c>
    </row>
    <row r="9" spans="2:6" x14ac:dyDescent="0.25">
      <c r="B9" t="s">
        <v>12</v>
      </c>
      <c r="C9" t="s">
        <v>25</v>
      </c>
      <c r="D9">
        <v>7</v>
      </c>
      <c r="F9">
        <f t="shared" ca="1" si="0"/>
        <v>2029</v>
      </c>
    </row>
    <row r="10" spans="2:6" x14ac:dyDescent="0.25">
      <c r="B10" t="s">
        <v>13</v>
      </c>
      <c r="C10" t="s">
        <v>26</v>
      </c>
      <c r="D10">
        <v>8</v>
      </c>
      <c r="F10">
        <f t="shared" ca="1" si="0"/>
        <v>2030</v>
      </c>
    </row>
    <row r="11" spans="2:6" x14ac:dyDescent="0.25">
      <c r="B11" t="s">
        <v>14</v>
      </c>
      <c r="C11" t="s">
        <v>27</v>
      </c>
      <c r="D11">
        <v>9</v>
      </c>
      <c r="F11">
        <f t="shared" ca="1" si="0"/>
        <v>2031</v>
      </c>
    </row>
    <row r="12" spans="2:6" x14ac:dyDescent="0.25">
      <c r="B12" t="s">
        <v>15</v>
      </c>
      <c r="C12" t="s">
        <v>28</v>
      </c>
      <c r="D12">
        <v>10</v>
      </c>
      <c r="F12">
        <f t="shared" ca="1" si="0"/>
        <v>2032</v>
      </c>
    </row>
    <row r="13" spans="2:6" x14ac:dyDescent="0.25">
      <c r="B13" t="s">
        <v>16</v>
      </c>
      <c r="C13" t="s">
        <v>29</v>
      </c>
      <c r="D13">
        <v>11</v>
      </c>
      <c r="F13">
        <f t="shared" ca="1" si="0"/>
        <v>2033</v>
      </c>
    </row>
    <row r="14" spans="2:6" x14ac:dyDescent="0.25">
      <c r="B14" t="s">
        <v>17</v>
      </c>
      <c r="C14" t="s">
        <v>30</v>
      </c>
      <c r="D14">
        <v>12</v>
      </c>
      <c r="F14">
        <f t="shared" ca="1" si="0"/>
        <v>2034</v>
      </c>
    </row>
    <row r="16" spans="2:6" x14ac:dyDescent="0.25">
      <c r="B16" s="1" t="s">
        <v>41</v>
      </c>
      <c r="C16" t="str">
        <f>_xlfn.XLOOKUP(start!D13,months,tech!B3:B14)</f>
        <v>January</v>
      </c>
      <c r="D16" t="str">
        <f>_xlfn.CONCAT("1 ",C16," ",start!D12)</f>
        <v>1 January 2024</v>
      </c>
      <c r="F16">
        <f>MONTH(D16)</f>
        <v>1</v>
      </c>
    </row>
    <row r="17" spans="2:5" x14ac:dyDescent="0.25">
      <c r="B17" t="s">
        <v>86</v>
      </c>
      <c r="C17" s="48">
        <f ca="1">NOW()</f>
        <v>45124.939314699077</v>
      </c>
    </row>
    <row r="20" spans="2:5" x14ac:dyDescent="0.25">
      <c r="B20" s="1" t="s">
        <v>40</v>
      </c>
    </row>
    <row r="22" spans="2:5" x14ac:dyDescent="0.25">
      <c r="B22">
        <v>1</v>
      </c>
      <c r="C22" s="2">
        <f>DATE(start!D12,F16,1)</f>
        <v>45292</v>
      </c>
      <c r="D22">
        <f>MONTH(C22)</f>
        <v>1</v>
      </c>
      <c r="E22" t="str">
        <f t="shared" ref="E22:E33" si="1">_xlfn.XLOOKUP(D22,$D$3:$D$14,months,"not found",0,1)</f>
        <v>Styczeń</v>
      </c>
    </row>
    <row r="23" spans="2:5" x14ac:dyDescent="0.25">
      <c r="B23">
        <v>2</v>
      </c>
      <c r="C23" s="2">
        <f>EDATE(C22,1)</f>
        <v>45323</v>
      </c>
      <c r="D23">
        <f t="shared" ref="D23:D33" si="2">MONTH(C23)</f>
        <v>2</v>
      </c>
      <c r="E23" t="str">
        <f t="shared" si="1"/>
        <v>Luty</v>
      </c>
    </row>
    <row r="24" spans="2:5" x14ac:dyDescent="0.25">
      <c r="B24">
        <v>3</v>
      </c>
      <c r="C24" s="2">
        <f t="shared" ref="C24:C33" si="3">EDATE(C23,1)</f>
        <v>45352</v>
      </c>
      <c r="D24">
        <f t="shared" si="2"/>
        <v>3</v>
      </c>
      <c r="E24" t="str">
        <f t="shared" si="1"/>
        <v>Marzec</v>
      </c>
    </row>
    <row r="25" spans="2:5" x14ac:dyDescent="0.25">
      <c r="B25">
        <v>4</v>
      </c>
      <c r="C25" s="2">
        <f t="shared" si="3"/>
        <v>45383</v>
      </c>
      <c r="D25">
        <f t="shared" si="2"/>
        <v>4</v>
      </c>
      <c r="E25" t="str">
        <f t="shared" si="1"/>
        <v>Kwiecień</v>
      </c>
    </row>
    <row r="26" spans="2:5" x14ac:dyDescent="0.25">
      <c r="B26">
        <v>5</v>
      </c>
      <c r="C26" s="2">
        <f t="shared" si="3"/>
        <v>45413</v>
      </c>
      <c r="D26">
        <f t="shared" si="2"/>
        <v>5</v>
      </c>
      <c r="E26" t="str">
        <f t="shared" si="1"/>
        <v>Maj</v>
      </c>
    </row>
    <row r="27" spans="2:5" x14ac:dyDescent="0.25">
      <c r="B27">
        <v>6</v>
      </c>
      <c r="C27" s="2">
        <f t="shared" si="3"/>
        <v>45444</v>
      </c>
      <c r="D27">
        <f t="shared" si="2"/>
        <v>6</v>
      </c>
      <c r="E27" t="str">
        <f t="shared" si="1"/>
        <v>Czerwiec</v>
      </c>
    </row>
    <row r="28" spans="2:5" x14ac:dyDescent="0.25">
      <c r="B28">
        <v>7</v>
      </c>
      <c r="C28" s="2">
        <f t="shared" si="3"/>
        <v>45474</v>
      </c>
      <c r="D28">
        <f t="shared" si="2"/>
        <v>7</v>
      </c>
      <c r="E28" t="str">
        <f t="shared" si="1"/>
        <v>Lipiec</v>
      </c>
    </row>
    <row r="29" spans="2:5" x14ac:dyDescent="0.25">
      <c r="B29">
        <v>8</v>
      </c>
      <c r="C29" s="2">
        <f t="shared" si="3"/>
        <v>45505</v>
      </c>
      <c r="D29">
        <f t="shared" si="2"/>
        <v>8</v>
      </c>
      <c r="E29" t="str">
        <f t="shared" si="1"/>
        <v>Sierpień</v>
      </c>
    </row>
    <row r="30" spans="2:5" x14ac:dyDescent="0.25">
      <c r="B30">
        <v>9</v>
      </c>
      <c r="C30" s="2">
        <f t="shared" si="3"/>
        <v>45536</v>
      </c>
      <c r="D30">
        <f t="shared" si="2"/>
        <v>9</v>
      </c>
      <c r="E30" t="str">
        <f t="shared" si="1"/>
        <v>Wrzesień</v>
      </c>
    </row>
    <row r="31" spans="2:5" x14ac:dyDescent="0.25">
      <c r="B31">
        <v>10</v>
      </c>
      <c r="C31" s="2">
        <f t="shared" si="3"/>
        <v>45566</v>
      </c>
      <c r="D31">
        <f t="shared" si="2"/>
        <v>10</v>
      </c>
      <c r="E31" t="str">
        <f t="shared" si="1"/>
        <v>Październik</v>
      </c>
    </row>
    <row r="32" spans="2:5" x14ac:dyDescent="0.25">
      <c r="B32">
        <v>11</v>
      </c>
      <c r="C32" s="2">
        <f t="shared" si="3"/>
        <v>45597</v>
      </c>
      <c r="D32">
        <f t="shared" si="2"/>
        <v>11</v>
      </c>
      <c r="E32" t="str">
        <f t="shared" si="1"/>
        <v>Listopad</v>
      </c>
    </row>
    <row r="33" spans="2:5" x14ac:dyDescent="0.25">
      <c r="B33">
        <v>12</v>
      </c>
      <c r="C33" s="2">
        <f t="shared" si="3"/>
        <v>45627</v>
      </c>
      <c r="D33">
        <f t="shared" si="2"/>
        <v>12</v>
      </c>
      <c r="E33" t="str">
        <f t="shared" si="1"/>
        <v>Grudzień</v>
      </c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958C2-6571-4801-828D-9241116B9042}">
  <sheetPr codeName="Sheet6">
    <tabColor rgb="FFFFFF00"/>
  </sheetPr>
  <dimension ref="B1:R46"/>
  <sheetViews>
    <sheetView workbookViewId="0">
      <selection activeCell="L35" sqref="L35"/>
    </sheetView>
  </sheetViews>
  <sheetFormatPr defaultColWidth="10.85546875" defaultRowHeight="15" x14ac:dyDescent="0.25"/>
  <cols>
    <col min="1" max="1" width="10.85546875" style="6"/>
    <col min="2" max="2" width="30.140625" style="6" bestFit="1" customWidth="1"/>
    <col min="3" max="8" width="10.85546875" style="6"/>
    <col min="9" max="9" width="11.7109375" style="6" bestFit="1" customWidth="1"/>
    <col min="10" max="15" width="10.85546875" style="6"/>
    <col min="16" max="16" width="22.5703125" style="6" bestFit="1" customWidth="1"/>
    <col min="17" max="17" width="11.7109375" style="6" bestFit="1" customWidth="1"/>
    <col min="18" max="16384" width="10.85546875" style="6"/>
  </cols>
  <sheetData>
    <row r="1" spans="2:17" x14ac:dyDescent="0.25">
      <c r="C1" s="50" t="str">
        <f>IF(C5="","",tech!$E22)</f>
        <v>Styczeń</v>
      </c>
      <c r="D1" s="50" t="str">
        <f>IF(D5="","",tech!$E23)</f>
        <v>Luty</v>
      </c>
      <c r="E1" s="50" t="str">
        <f>IF(E5="","",tech!$E24)</f>
        <v>Marzec</v>
      </c>
      <c r="F1" s="50" t="str">
        <f>IF(F5="","",tech!$E25)</f>
        <v>Kwiecień</v>
      </c>
      <c r="G1" s="50" t="str">
        <f>IF(G5="","",tech!$E26)</f>
        <v>Maj</v>
      </c>
      <c r="H1" s="50" t="str">
        <f>IF(H5="","",tech!$E27)</f>
        <v>Czerwiec</v>
      </c>
      <c r="I1" s="50" t="str">
        <f>IF(I5="","",tech!$E28)</f>
        <v>Lipiec</v>
      </c>
      <c r="J1" s="50" t="str">
        <f>IF(J5="","",tech!$E29)</f>
        <v>Sierpień</v>
      </c>
      <c r="K1" s="50" t="str">
        <f>IF(K5="","",tech!$E30)</f>
        <v>Wrzesień</v>
      </c>
      <c r="L1" s="50" t="str">
        <f>IF(L5="","",tech!$E31)</f>
        <v>Październik</v>
      </c>
      <c r="M1" s="50" t="str">
        <f>IF(M5="","",tech!$E32)</f>
        <v>Listopad</v>
      </c>
      <c r="N1" s="50" t="str">
        <f>IF(N5="","",tech!$E33)</f>
        <v>Grudzień</v>
      </c>
    </row>
    <row r="2" spans="2:17" x14ac:dyDescent="0.25">
      <c r="C2" s="16" t="str">
        <f t="shared" ref="C2:N2" si="0">C1</f>
        <v>Styczeń</v>
      </c>
      <c r="D2" s="16" t="str">
        <f t="shared" si="0"/>
        <v>Luty</v>
      </c>
      <c r="E2" s="16" t="str">
        <f t="shared" si="0"/>
        <v>Marzec</v>
      </c>
      <c r="F2" s="16" t="str">
        <f t="shared" si="0"/>
        <v>Kwiecień</v>
      </c>
      <c r="G2" s="16" t="str">
        <f t="shared" si="0"/>
        <v>Maj</v>
      </c>
      <c r="H2" s="16" t="str">
        <f t="shared" si="0"/>
        <v>Czerwiec</v>
      </c>
      <c r="I2" s="16" t="str">
        <f t="shared" si="0"/>
        <v>Lipiec</v>
      </c>
      <c r="J2" s="16" t="str">
        <f t="shared" si="0"/>
        <v>Sierpień</v>
      </c>
      <c r="K2" s="16" t="str">
        <f t="shared" si="0"/>
        <v>Wrzesień</v>
      </c>
      <c r="L2" s="16" t="str">
        <f t="shared" si="0"/>
        <v>Październik</v>
      </c>
      <c r="M2" s="16" t="str">
        <f t="shared" si="0"/>
        <v>Listopad</v>
      </c>
      <c r="N2" s="16" t="str">
        <f t="shared" si="0"/>
        <v>Grudzień</v>
      </c>
      <c r="P2" s="16" t="s">
        <v>80</v>
      </c>
    </row>
    <row r="3" spans="2:17" x14ac:dyDescent="0.25">
      <c r="B3" s="6" t="s">
        <v>72</v>
      </c>
      <c r="C3" s="6">
        <f>IF(PL!D12="","",PL!D12)</f>
        <v>11700</v>
      </c>
      <c r="D3" s="6">
        <f>IF(PL!E12="","",PL!E12)</f>
        <v>11625</v>
      </c>
      <c r="E3" s="6">
        <f>IF(PL!F12="","",PL!F12)</f>
        <v>11800</v>
      </c>
      <c r="F3" s="6">
        <f>IF(PL!G12="","",PL!G12)</f>
        <v>12050</v>
      </c>
      <c r="G3" s="6">
        <f>IF(PL!H12="","",PL!H12)</f>
        <v>14050</v>
      </c>
      <c r="H3" s="6">
        <f>IF(PL!I12="","",PL!I12)</f>
        <v>13350</v>
      </c>
      <c r="I3" s="6">
        <f>IF(PL!J12="","",PL!J12)</f>
        <v>11500</v>
      </c>
      <c r="J3" s="6">
        <f>IF(PL!K12="","",PL!K12)</f>
        <v>11250</v>
      </c>
      <c r="K3" s="6">
        <f>IF(PL!L12="","",PL!L12)</f>
        <v>12150</v>
      </c>
      <c r="L3" s="6">
        <f>IF(PL!M12="","",PL!M12)</f>
        <v>12820</v>
      </c>
      <c r="M3" s="6">
        <f>IF(PL!N12="","",PL!N12)</f>
        <v>13500</v>
      </c>
      <c r="N3" s="6">
        <f>IF(PL!O12="","",PL!O12)</f>
        <v>11850</v>
      </c>
      <c r="P3" s="6" t="str">
        <f>B3</f>
        <v>Wpływy</v>
      </c>
      <c r="Q3" s="6">
        <f>IF(C3="","",SUM(C3:N3))</f>
        <v>147645</v>
      </c>
    </row>
    <row r="4" spans="2:17" x14ac:dyDescent="0.25">
      <c r="B4" s="6" t="s">
        <v>73</v>
      </c>
      <c r="C4" s="6">
        <f>IF(PL!D31="","",PL!D31)</f>
        <v>6140</v>
      </c>
      <c r="D4" s="6">
        <f>IF(PL!E31="","",PL!E31)</f>
        <v>6110</v>
      </c>
      <c r="E4" s="6">
        <f>IF(PL!F31="","",PL!F31)</f>
        <v>8502</v>
      </c>
      <c r="F4" s="6">
        <f>IF(PL!G31="","",PL!G31)</f>
        <v>7743</v>
      </c>
      <c r="G4" s="6">
        <f>IF(PL!H31="","",PL!H31)</f>
        <v>6600</v>
      </c>
      <c r="H4" s="6">
        <f>IF(PL!I31="","",PL!I31)</f>
        <v>6300</v>
      </c>
      <c r="I4" s="6">
        <f>IF(PL!J31="","",PL!J31)</f>
        <v>6295</v>
      </c>
      <c r="J4" s="6">
        <f>IF(PL!K31="","",PL!K31)</f>
        <v>6315</v>
      </c>
      <c r="K4" s="6">
        <f>IF(PL!L31="","",PL!L31)</f>
        <v>6350</v>
      </c>
      <c r="L4" s="6">
        <f>IF(PL!M31="","",PL!M31)</f>
        <v>6785</v>
      </c>
      <c r="M4" s="6">
        <f>IF(PL!N31="","",PL!N31)</f>
        <v>6059</v>
      </c>
      <c r="N4" s="6">
        <f>IF(PL!O31="","",PL!O31)</f>
        <v>7235</v>
      </c>
      <c r="P4" s="6" t="str">
        <f t="shared" ref="P4:P5" si="1">B4</f>
        <v>Koszty</v>
      </c>
      <c r="Q4" s="6">
        <f>IF(C4="","",SUM(C4:N4))</f>
        <v>80434</v>
      </c>
    </row>
    <row r="5" spans="2:17" x14ac:dyDescent="0.25">
      <c r="B5" s="6" t="s">
        <v>74</v>
      </c>
      <c r="C5" s="6">
        <f>IFERROR(C3-C4,"")</f>
        <v>5560</v>
      </c>
      <c r="D5" s="6">
        <f t="shared" ref="D5:N5" si="2">IFERROR(D3-D4,"")</f>
        <v>5515</v>
      </c>
      <c r="E5" s="6">
        <f t="shared" si="2"/>
        <v>3298</v>
      </c>
      <c r="F5" s="6">
        <f t="shared" si="2"/>
        <v>4307</v>
      </c>
      <c r="G5" s="6">
        <f t="shared" si="2"/>
        <v>7450</v>
      </c>
      <c r="H5" s="6">
        <f t="shared" si="2"/>
        <v>7050</v>
      </c>
      <c r="I5" s="6">
        <f t="shared" si="2"/>
        <v>5205</v>
      </c>
      <c r="J5" s="6">
        <f t="shared" si="2"/>
        <v>4935</v>
      </c>
      <c r="K5" s="6">
        <f t="shared" si="2"/>
        <v>5800</v>
      </c>
      <c r="L5" s="6">
        <f t="shared" si="2"/>
        <v>6035</v>
      </c>
      <c r="M5" s="6">
        <f t="shared" si="2"/>
        <v>7441</v>
      </c>
      <c r="N5" s="6">
        <f t="shared" si="2"/>
        <v>4615</v>
      </c>
      <c r="P5" s="6" t="str">
        <f t="shared" si="1"/>
        <v>Zysk lub strata</v>
      </c>
      <c r="Q5" s="6">
        <f>IFERROR(Q3-Q4,"")</f>
        <v>67211</v>
      </c>
    </row>
    <row r="7" spans="2:17" x14ac:dyDescent="0.25">
      <c r="B7" s="16" t="s">
        <v>75</v>
      </c>
    </row>
    <row r="8" spans="2:17" x14ac:dyDescent="0.25">
      <c r="C8" s="16" t="str">
        <f>C2</f>
        <v>Styczeń</v>
      </c>
      <c r="D8" s="16" t="str">
        <f t="shared" ref="D8:N8" si="3">D2</f>
        <v>Luty</v>
      </c>
      <c r="E8" s="16" t="str">
        <f t="shared" si="3"/>
        <v>Marzec</v>
      </c>
      <c r="F8" s="16" t="str">
        <f t="shared" si="3"/>
        <v>Kwiecień</v>
      </c>
      <c r="G8" s="16" t="str">
        <f t="shared" si="3"/>
        <v>Maj</v>
      </c>
      <c r="H8" s="16" t="str">
        <f t="shared" si="3"/>
        <v>Czerwiec</v>
      </c>
      <c r="I8" s="16" t="str">
        <f t="shared" si="3"/>
        <v>Lipiec</v>
      </c>
      <c r="J8" s="16" t="str">
        <f t="shared" si="3"/>
        <v>Sierpień</v>
      </c>
      <c r="K8" s="16" t="str">
        <f t="shared" si="3"/>
        <v>Wrzesień</v>
      </c>
      <c r="L8" s="16" t="str">
        <f t="shared" si="3"/>
        <v>Październik</v>
      </c>
      <c r="M8" s="16" t="str">
        <f t="shared" si="3"/>
        <v>Listopad</v>
      </c>
      <c r="N8" s="16" t="str">
        <f t="shared" si="3"/>
        <v>Grudzień</v>
      </c>
      <c r="P8" s="16" t="s">
        <v>80</v>
      </c>
    </row>
    <row r="9" spans="2:17" x14ac:dyDescent="0.25">
      <c r="B9" s="6" t="s">
        <v>50</v>
      </c>
      <c r="C9" s="6">
        <f>IF(PL!D16="","",PL!D16)</f>
        <v>1200</v>
      </c>
      <c r="D9" s="6">
        <f>IF(PL!E16="","",PL!E16)</f>
        <v>1200</v>
      </c>
      <c r="E9" s="6">
        <f>IF(PL!F16="","",PL!F16)</f>
        <v>1200</v>
      </c>
      <c r="F9" s="6">
        <f>IF(PL!G16="","",PL!G16)</f>
        <v>1200</v>
      </c>
      <c r="G9" s="6">
        <f>IF(PL!H16="","",PL!H16)</f>
        <v>1250</v>
      </c>
      <c r="H9" s="6">
        <f>IF(PL!I16="","",PL!I16)</f>
        <v>1250</v>
      </c>
      <c r="I9" s="6">
        <f>IF(PL!J16="","",PL!J16)</f>
        <v>1250</v>
      </c>
      <c r="J9" s="6">
        <f>IF(PL!K16="","",PL!K16)</f>
        <v>1250</v>
      </c>
      <c r="K9" s="6">
        <f>IF(PL!L16="","",PL!L16)</f>
        <v>1250</v>
      </c>
      <c r="L9" s="6">
        <f>IF(PL!M16="","",PL!M16)</f>
        <v>1250</v>
      </c>
      <c r="M9" s="6">
        <f>IF(PL!N16="","",PL!N16)</f>
        <v>1255</v>
      </c>
      <c r="N9" s="6">
        <f>IF(PL!O16="","",PL!O16)</f>
        <v>1255</v>
      </c>
      <c r="P9" s="6" t="str">
        <f>B9</f>
        <v>Czynsz</v>
      </c>
      <c r="Q9" s="6">
        <f>SUM(C9:N9)</f>
        <v>14810</v>
      </c>
    </row>
    <row r="10" spans="2:17" x14ac:dyDescent="0.25">
      <c r="B10" s="6" t="s">
        <v>51</v>
      </c>
      <c r="C10" s="6">
        <f>IF(PL!D17="","",PL!D17)</f>
        <v>1100</v>
      </c>
      <c r="D10" s="6">
        <f>IF(PL!E17="","",PL!E17)</f>
        <v>1050</v>
      </c>
      <c r="E10" s="6">
        <f>IF(PL!F17="","",PL!F17)</f>
        <v>900</v>
      </c>
      <c r="F10" s="6">
        <f>IF(PL!G17="","",PL!G17)</f>
        <v>805</v>
      </c>
      <c r="G10" s="6">
        <f>IF(PL!H17="","",PL!H17)</f>
        <v>830</v>
      </c>
      <c r="H10" s="6">
        <f>IF(PL!I17="","",PL!I17)</f>
        <v>805</v>
      </c>
      <c r="I10" s="6">
        <f>IF(PL!J17="","",PL!J17)</f>
        <v>790</v>
      </c>
      <c r="J10" s="6">
        <f>IF(PL!K17="","",PL!K17)</f>
        <v>775</v>
      </c>
      <c r="K10" s="6">
        <f>IF(PL!L17="","",PL!L17)</f>
        <v>820</v>
      </c>
      <c r="L10" s="6">
        <f>IF(PL!M17="","",PL!M17)</f>
        <v>900</v>
      </c>
      <c r="M10" s="6">
        <f>IF(PL!N17="","",PL!N17)</f>
        <v>1100</v>
      </c>
      <c r="N10" s="6">
        <f>IF(PL!O17="","",PL!O17)</f>
        <v>1300</v>
      </c>
      <c r="P10" s="6" t="str">
        <f t="shared" ref="P10:P16" si="4">B10</f>
        <v>Prąd</v>
      </c>
      <c r="Q10" s="6">
        <f t="shared" ref="Q10:Q16" si="5">SUM(C10:N10)</f>
        <v>11175</v>
      </c>
    </row>
    <row r="11" spans="2:17" x14ac:dyDescent="0.25">
      <c r="B11" s="6" t="s">
        <v>52</v>
      </c>
      <c r="C11" s="6">
        <f>IF(PL!D18="","",PL!D18)</f>
        <v>50</v>
      </c>
      <c r="D11" s="6">
        <f>IF(PL!E18="","",PL!E18)</f>
        <v>45</v>
      </c>
      <c r="E11" s="6">
        <f>IF(PL!F18="","",PL!F18)</f>
        <v>52</v>
      </c>
      <c r="F11" s="6">
        <f>IF(PL!G18="","",PL!G18)</f>
        <v>48</v>
      </c>
      <c r="G11" s="6">
        <f>IF(PL!H18="","",PL!H18)</f>
        <v>45</v>
      </c>
      <c r="H11" s="6">
        <f>IF(PL!I18="","",PL!I18)</f>
        <v>55</v>
      </c>
      <c r="I11" s="6">
        <f>IF(PL!J18="","",PL!J18)</f>
        <v>40</v>
      </c>
      <c r="J11" s="6">
        <f>IF(PL!K18="","",PL!K18)</f>
        <v>45</v>
      </c>
      <c r="K11" s="6">
        <f>IF(PL!L18="","",PL!L18)</f>
        <v>50</v>
      </c>
      <c r="L11" s="6">
        <f>IF(PL!M18="","",PL!M18)</f>
        <v>50</v>
      </c>
      <c r="M11" s="6">
        <f>IF(PL!N18="","",PL!N18)</f>
        <v>54</v>
      </c>
      <c r="N11" s="6">
        <f>IF(PL!O18="","",PL!O18)</f>
        <v>50</v>
      </c>
      <c r="P11" s="6" t="str">
        <f t="shared" si="4"/>
        <v>Gaz</v>
      </c>
      <c r="Q11" s="6">
        <f t="shared" si="5"/>
        <v>584</v>
      </c>
    </row>
    <row r="12" spans="2:17" x14ac:dyDescent="0.25">
      <c r="B12" s="6" t="s">
        <v>84</v>
      </c>
      <c r="C12" s="6">
        <f>IF(PL!D19="","",PL!D19)</f>
        <v>90</v>
      </c>
      <c r="D12" s="6">
        <f>IF(PL!E19="","",PL!E19)</f>
        <v>90</v>
      </c>
      <c r="E12" s="6">
        <f>IF(PL!F19="","",PL!F19)</f>
        <v>90</v>
      </c>
      <c r="F12" s="6">
        <f>IF(PL!G19="","",PL!G19)</f>
        <v>90</v>
      </c>
      <c r="G12" s="6">
        <f>IF(PL!H19="","",PL!H19)</f>
        <v>90</v>
      </c>
      <c r="H12" s="6">
        <f>IF(PL!I19="","",PL!I19)</f>
        <v>90</v>
      </c>
      <c r="I12" s="6">
        <f>IF(PL!J19="","",PL!J19)</f>
        <v>90</v>
      </c>
      <c r="J12" s="6">
        <f>IF(PL!K19="","",PL!K19)</f>
        <v>90</v>
      </c>
      <c r="K12" s="6">
        <f>IF(PL!L19="","",PL!L19)</f>
        <v>90</v>
      </c>
      <c r="L12" s="6">
        <f>IF(PL!M19="","",PL!M19)</f>
        <v>90</v>
      </c>
      <c r="M12" s="6">
        <f>IF(PL!N19="","",PL!N19)</f>
        <v>90</v>
      </c>
      <c r="N12" s="6">
        <f>IF(PL!O19="","",PL!O19)</f>
        <v>90</v>
      </c>
      <c r="P12" s="6" t="str">
        <f t="shared" si="4"/>
        <v>Internet i TV</v>
      </c>
      <c r="Q12" s="6">
        <f t="shared" si="5"/>
        <v>1080</v>
      </c>
    </row>
    <row r="13" spans="2:17" x14ac:dyDescent="0.25">
      <c r="B13" s="6" t="s">
        <v>70</v>
      </c>
      <c r="C13" s="6">
        <f>IF(PL!D20="","",PL!D20)</f>
        <v>2700</v>
      </c>
      <c r="D13" s="6">
        <f>IF(PL!E20="","",PL!E20)</f>
        <v>2700</v>
      </c>
      <c r="E13" s="6">
        <f>IF(PL!F20="","",PL!F20)</f>
        <v>2700</v>
      </c>
      <c r="F13" s="6">
        <f>IF(PL!G20="","",PL!G20)</f>
        <v>3000</v>
      </c>
      <c r="G13" s="6">
        <f>IF(PL!H20="","",PL!H20)</f>
        <v>3200</v>
      </c>
      <c r="H13" s="6">
        <f>IF(PL!I20="","",PL!I20)</f>
        <v>3200</v>
      </c>
      <c r="I13" s="6">
        <f>IF(PL!J20="","",PL!J20)</f>
        <v>3200</v>
      </c>
      <c r="J13" s="6">
        <f>IF(PL!K20="","",PL!K20)</f>
        <v>3200</v>
      </c>
      <c r="K13" s="6">
        <f>IF(PL!L20="","",PL!L20)</f>
        <v>3200</v>
      </c>
      <c r="L13" s="6">
        <f>IF(PL!M20="","",PL!M20)</f>
        <v>3000</v>
      </c>
      <c r="M13" s="6">
        <f>IF(PL!N20="","",PL!N20)</f>
        <v>2500</v>
      </c>
      <c r="N13" s="6">
        <f>IF(PL!O20="","",PL!O20)</f>
        <v>2500</v>
      </c>
      <c r="P13" s="6" t="str">
        <f t="shared" si="4"/>
        <v>Kredyt</v>
      </c>
      <c r="Q13" s="6">
        <f t="shared" si="5"/>
        <v>35100</v>
      </c>
    </row>
    <row r="14" spans="2:17" x14ac:dyDescent="0.25">
      <c r="B14" s="6" t="s">
        <v>76</v>
      </c>
      <c r="C14" s="6">
        <f>IF(PL!D23="","",PL!D23)</f>
        <v>850</v>
      </c>
      <c r="D14" s="6">
        <f>IF(PL!E23="","",PL!E23)</f>
        <v>825</v>
      </c>
      <c r="E14" s="6">
        <f>IF(PL!F23="","",PL!F23)</f>
        <v>900</v>
      </c>
      <c r="F14" s="6">
        <f>IF(PL!G23="","",PL!G23)</f>
        <v>910</v>
      </c>
      <c r="G14" s="6">
        <f>IF(PL!H23="","",PL!H23)</f>
        <v>700</v>
      </c>
      <c r="H14" s="6">
        <f>IF(PL!I23="","",PL!I23)</f>
        <v>750</v>
      </c>
      <c r="I14" s="6">
        <f>IF(PL!J23="","",PL!J23)</f>
        <v>800</v>
      </c>
      <c r="J14" s="6">
        <f>IF(PL!K23="","",PL!K23)</f>
        <v>825</v>
      </c>
      <c r="K14" s="6">
        <f>IF(PL!L23="","",PL!L23)</f>
        <v>790</v>
      </c>
      <c r="L14" s="6">
        <f>IF(PL!M23="","",PL!M23)</f>
        <v>850</v>
      </c>
      <c r="M14" s="6">
        <f>IF(PL!N23="","",PL!N23)</f>
        <v>900</v>
      </c>
      <c r="N14" s="6">
        <f>IF(PL!O23="","",PL!O23)</f>
        <v>1200</v>
      </c>
      <c r="P14" s="6" t="str">
        <f t="shared" si="4"/>
        <v>Zakupy</v>
      </c>
      <c r="Q14" s="6">
        <f t="shared" si="5"/>
        <v>10300</v>
      </c>
    </row>
    <row r="15" spans="2:17" x14ac:dyDescent="0.25">
      <c r="B15" s="6" t="s">
        <v>90</v>
      </c>
      <c r="C15" s="6">
        <f>IF(PL!D24="","",PL!D24)</f>
        <v>0</v>
      </c>
      <c r="D15" s="6">
        <f>IF(PL!E24="","",PL!E24)</f>
        <v>0</v>
      </c>
      <c r="E15" s="6">
        <f>IF(PL!F24="","",PL!F24)</f>
        <v>0</v>
      </c>
      <c r="F15" s="6">
        <f>IF(PL!G24="","",PL!G24)</f>
        <v>1500</v>
      </c>
      <c r="G15" s="6">
        <f>IF(PL!H24="","",PL!H24)</f>
        <v>300</v>
      </c>
      <c r="H15" s="6">
        <f>IF(PL!I24="","",PL!I24)</f>
        <v>0</v>
      </c>
      <c r="I15" s="6">
        <f>IF(PL!J24="","",PL!J24)</f>
        <v>0</v>
      </c>
      <c r="J15" s="6">
        <f>IF(PL!K24="","",PL!K24)</f>
        <v>0</v>
      </c>
      <c r="P15" s="6" t="str">
        <f t="shared" si="4"/>
        <v>Zakupy specjalne</v>
      </c>
      <c r="Q15" s="6">
        <f t="shared" si="5"/>
        <v>1800</v>
      </c>
    </row>
    <row r="16" spans="2:17" x14ac:dyDescent="0.25">
      <c r="B16" s="6" t="s">
        <v>55</v>
      </c>
      <c r="C16" s="6">
        <f>IF(PL!D29="","",PL!D29)</f>
        <v>150</v>
      </c>
      <c r="D16" s="6">
        <f>IF(PL!E29="","",PL!E29)</f>
        <v>200</v>
      </c>
      <c r="E16" s="6">
        <f>IF(PL!F29="","",PL!F29)</f>
        <v>2660</v>
      </c>
      <c r="F16" s="6">
        <f>IF(PL!G29="","",PL!G29)</f>
        <v>190</v>
      </c>
      <c r="G16" s="6">
        <f>IF(PL!H29="","",PL!H29)</f>
        <v>185</v>
      </c>
      <c r="H16" s="6">
        <f>IF(PL!I29="","",PL!I29)</f>
        <v>150</v>
      </c>
      <c r="I16" s="6">
        <f>IF(PL!J29="","",PL!J29)</f>
        <v>125</v>
      </c>
      <c r="J16" s="6">
        <f>IF(PL!K29="","",PL!K29)</f>
        <v>130</v>
      </c>
      <c r="K16" s="6">
        <f>IF(PL!L24="","",PL!L24)</f>
        <v>0</v>
      </c>
      <c r="L16" s="6">
        <f>IF(PL!M24="","",PL!M24)</f>
        <v>0</v>
      </c>
      <c r="M16" s="6">
        <f>IF(PL!N24="","",PL!N24)</f>
        <v>0</v>
      </c>
      <c r="N16" s="6">
        <f>IF(PL!O24="","",PL!O24)</f>
        <v>750</v>
      </c>
      <c r="P16" s="6" t="str">
        <f t="shared" si="4"/>
        <v>Samochód</v>
      </c>
      <c r="Q16" s="6">
        <f t="shared" si="5"/>
        <v>4540</v>
      </c>
    </row>
    <row r="18" spans="2:18" x14ac:dyDescent="0.25">
      <c r="B18" s="16" t="s">
        <v>77</v>
      </c>
    </row>
    <row r="19" spans="2:18" x14ac:dyDescent="0.25">
      <c r="B19" s="16"/>
      <c r="C19" s="16" t="str">
        <f>C2</f>
        <v>Styczeń</v>
      </c>
      <c r="D19" s="16" t="str">
        <f t="shared" ref="D19:N19" si="6">D2</f>
        <v>Luty</v>
      </c>
      <c r="E19" s="16" t="str">
        <f t="shared" si="6"/>
        <v>Marzec</v>
      </c>
      <c r="F19" s="16" t="str">
        <f t="shared" si="6"/>
        <v>Kwiecień</v>
      </c>
      <c r="G19" s="16" t="str">
        <f t="shared" si="6"/>
        <v>Maj</v>
      </c>
      <c r="H19" s="16" t="str">
        <f t="shared" si="6"/>
        <v>Czerwiec</v>
      </c>
      <c r="I19" s="16" t="str">
        <f t="shared" si="6"/>
        <v>Lipiec</v>
      </c>
      <c r="J19" s="16" t="str">
        <f t="shared" si="6"/>
        <v>Sierpień</v>
      </c>
      <c r="K19" s="16" t="str">
        <f t="shared" si="6"/>
        <v>Wrzesień</v>
      </c>
      <c r="L19" s="16" t="str">
        <f t="shared" si="6"/>
        <v>Październik</v>
      </c>
      <c r="M19" s="16" t="str">
        <f t="shared" si="6"/>
        <v>Listopad</v>
      </c>
      <c r="N19" s="16" t="str">
        <f t="shared" si="6"/>
        <v>Grudzień</v>
      </c>
      <c r="P19" s="16" t="s">
        <v>79</v>
      </c>
    </row>
    <row r="20" spans="2:18" x14ac:dyDescent="0.25">
      <c r="B20" s="6" t="s">
        <v>82</v>
      </c>
      <c r="C20" s="6">
        <f>IF(BS!D29="","",BS!D29)</f>
        <v>135350</v>
      </c>
      <c r="D20" s="6">
        <f>IF(BS!E29="","",BS!E29)</f>
        <v>137125</v>
      </c>
      <c r="E20" s="6">
        <f>IF(BS!F29="","",BS!F29)</f>
        <v>138590</v>
      </c>
      <c r="F20" s="6">
        <f>IF(BS!G29="","",BS!G29)</f>
        <v>141545</v>
      </c>
      <c r="G20" s="6">
        <f>IF(BS!H29="","",BS!H29)</f>
        <v>150805</v>
      </c>
      <c r="H20" s="6">
        <f>IF(BS!I29="","",BS!I29)</f>
        <v>154020</v>
      </c>
      <c r="I20" s="6">
        <f>IF(BS!J29="","",BS!J29)</f>
        <v>156470</v>
      </c>
      <c r="J20" s="6">
        <f>IF(BS!K29="","",BS!K29)</f>
        <v>160225</v>
      </c>
      <c r="K20" s="6">
        <f>IF(BS!L29="","",BS!L29)</f>
        <v>165970</v>
      </c>
      <c r="L20" s="6">
        <f>IF(BS!M29="","",BS!M29)</f>
        <v>172760</v>
      </c>
      <c r="M20" s="6">
        <f>IF(BS!N29="","",BS!N29)</f>
        <v>196305</v>
      </c>
      <c r="N20" s="6">
        <f>IF(BS!O29="","",BS!O29)</f>
        <v>204300</v>
      </c>
      <c r="P20" s="6" t="str">
        <f>B20</f>
        <v>Aktywa</v>
      </c>
      <c r="Q20" s="6" cm="1">
        <f t="array" ref="Q20">LOOKUP(2,1/(C20:N20&lt;&gt;""),C20:N20)</f>
        <v>204300</v>
      </c>
      <c r="R20" s="46">
        <f>Q20/(SUM(Q20:Q21))</f>
        <v>0.75863349424433713</v>
      </c>
    </row>
    <row r="21" spans="2:18" x14ac:dyDescent="0.25">
      <c r="B21" s="6" t="s">
        <v>83</v>
      </c>
      <c r="C21" s="6">
        <f>IF(BS!D33="","",BS!D33)</f>
        <v>150000</v>
      </c>
      <c r="D21" s="6">
        <f>IF(BS!E33="","",BS!E33)</f>
        <v>149000</v>
      </c>
      <c r="E21" s="6">
        <f>IF(BS!F33="","",BS!F33)</f>
        <v>147000</v>
      </c>
      <c r="F21" s="6">
        <f>IF(BS!G33="","",BS!G33)</f>
        <v>130000</v>
      </c>
      <c r="G21" s="6">
        <f>IF(BS!H33="","",BS!H33)</f>
        <v>129000</v>
      </c>
      <c r="H21" s="6">
        <f>IF(BS!I33="","",BS!I33)</f>
        <v>128000</v>
      </c>
      <c r="I21" s="6">
        <f>IF(BS!J33="","",BS!J33)</f>
        <v>126000</v>
      </c>
      <c r="J21" s="6">
        <f>IF(BS!K33="","",BS!K33)</f>
        <v>125000</v>
      </c>
      <c r="K21" s="6">
        <f>IF(BS!L33="","",BS!L33)</f>
        <v>124000</v>
      </c>
      <c r="L21" s="6">
        <f>IF(BS!M33="","",BS!M33)</f>
        <v>123000</v>
      </c>
      <c r="M21" s="6">
        <f>IF(BS!N33="","",BS!N33)</f>
        <v>70000</v>
      </c>
      <c r="N21" s="6">
        <f>IF(BS!O33="","",BS!O33)</f>
        <v>65000</v>
      </c>
      <c r="P21" s="6" t="str">
        <f t="shared" ref="P21:P22" si="7">B21</f>
        <v>Pasywa</v>
      </c>
      <c r="Q21" s="6" cm="1">
        <f t="array" ref="Q21">LOOKUP(2,1/(C21:N21&lt;&gt;""),C21:N21)</f>
        <v>65000</v>
      </c>
    </row>
    <row r="22" spans="2:18" x14ac:dyDescent="0.25">
      <c r="B22" s="6" t="s">
        <v>85</v>
      </c>
      <c r="C22" s="6">
        <f>IFERROR(C20-C21,"")</f>
        <v>-14650</v>
      </c>
      <c r="D22" s="6">
        <f t="shared" ref="D22:N22" si="8">IFERROR(D20-D21,"")</f>
        <v>-11875</v>
      </c>
      <c r="E22" s="6">
        <f t="shared" si="8"/>
        <v>-8410</v>
      </c>
      <c r="F22" s="6">
        <f t="shared" si="8"/>
        <v>11545</v>
      </c>
      <c r="G22" s="6">
        <f t="shared" si="8"/>
        <v>21805</v>
      </c>
      <c r="H22" s="6">
        <f t="shared" si="8"/>
        <v>26020</v>
      </c>
      <c r="I22" s="6">
        <f t="shared" si="8"/>
        <v>30470</v>
      </c>
      <c r="J22" s="6">
        <f t="shared" si="8"/>
        <v>35225</v>
      </c>
      <c r="K22" s="6">
        <f t="shared" si="8"/>
        <v>41970</v>
      </c>
      <c r="L22" s="6">
        <f t="shared" si="8"/>
        <v>49760</v>
      </c>
      <c r="M22" s="6">
        <f t="shared" si="8"/>
        <v>126305</v>
      </c>
      <c r="N22" s="6">
        <f t="shared" si="8"/>
        <v>139300</v>
      </c>
      <c r="P22" s="6" t="str">
        <f t="shared" si="7"/>
        <v>Netto</v>
      </c>
      <c r="Q22" s="6">
        <f>IFERROR(Q20-Q21,"")</f>
        <v>139300</v>
      </c>
    </row>
    <row r="24" spans="2:18" x14ac:dyDescent="0.25">
      <c r="B24" s="16" t="s">
        <v>78</v>
      </c>
    </row>
    <row r="25" spans="2:18" x14ac:dyDescent="0.25">
      <c r="B25" s="16"/>
      <c r="C25" s="16" t="str">
        <f>C2</f>
        <v>Styczeń</v>
      </c>
      <c r="D25" s="16" t="str">
        <f t="shared" ref="D25:N25" si="9">D2</f>
        <v>Luty</v>
      </c>
      <c r="E25" s="16" t="str">
        <f t="shared" si="9"/>
        <v>Marzec</v>
      </c>
      <c r="F25" s="16" t="str">
        <f t="shared" si="9"/>
        <v>Kwiecień</v>
      </c>
      <c r="G25" s="16" t="str">
        <f t="shared" si="9"/>
        <v>Maj</v>
      </c>
      <c r="H25" s="16" t="str">
        <f t="shared" si="9"/>
        <v>Czerwiec</v>
      </c>
      <c r="I25" s="16" t="str">
        <f t="shared" si="9"/>
        <v>Lipiec</v>
      </c>
      <c r="J25" s="16" t="str">
        <f t="shared" si="9"/>
        <v>Sierpień</v>
      </c>
      <c r="K25" s="16" t="str">
        <f t="shared" si="9"/>
        <v>Wrzesień</v>
      </c>
      <c r="L25" s="16" t="str">
        <f t="shared" si="9"/>
        <v>Październik</v>
      </c>
      <c r="M25" s="16" t="str">
        <f t="shared" si="9"/>
        <v>Listopad</v>
      </c>
      <c r="N25" s="16" t="str">
        <f t="shared" si="9"/>
        <v>Grudzień</v>
      </c>
      <c r="P25" s="16" t="s">
        <v>79</v>
      </c>
    </row>
    <row r="26" spans="2:18" x14ac:dyDescent="0.25">
      <c r="B26" s="6" t="s">
        <v>63</v>
      </c>
      <c r="C26" s="6">
        <f>IF(BS!D10="","",BS!D10)</f>
        <v>40000</v>
      </c>
      <c r="D26" s="6">
        <f>IF(BS!E10="","",BS!E10)</f>
        <v>40000</v>
      </c>
      <c r="E26" s="6">
        <f>IF(BS!F10="","",BS!F10)</f>
        <v>40000</v>
      </c>
      <c r="F26" s="6">
        <f>IF(BS!G10="","",BS!G10)</f>
        <v>40000</v>
      </c>
      <c r="G26" s="6">
        <f>IF(BS!H10="","",BS!H10)</f>
        <v>40000</v>
      </c>
      <c r="H26" s="6">
        <f>IF(BS!I10="","",BS!I10)</f>
        <v>40000</v>
      </c>
      <c r="I26" s="6">
        <f>IF(BS!J10="","",BS!J10)</f>
        <v>40000</v>
      </c>
      <c r="J26" s="6">
        <f>IF(BS!K10="","",BS!K10)</f>
        <v>40000</v>
      </c>
      <c r="K26" s="6">
        <f>IF(BS!L10="","",BS!L10)</f>
        <v>40000</v>
      </c>
      <c r="L26" s="6">
        <f>IF(BS!M10="","",BS!M10)</f>
        <v>40000</v>
      </c>
      <c r="M26" s="6">
        <f>IF(BS!N10="","",BS!N10)</f>
        <v>40000</v>
      </c>
      <c r="N26" s="6">
        <f>IF(BS!O10="","",BS!O10)</f>
        <v>40000</v>
      </c>
      <c r="P26" s="6" t="str">
        <f>B26</f>
        <v>Lokaty</v>
      </c>
      <c r="Q26" s="6" cm="1">
        <f t="array" ref="Q26">LOOKUP(2,1/(C26:N26&lt;&gt;""),C26:N26)</f>
        <v>40000</v>
      </c>
    </row>
    <row r="27" spans="2:18" x14ac:dyDescent="0.25">
      <c r="B27" s="6" t="s">
        <v>1</v>
      </c>
      <c r="C27" s="6">
        <f>IF(BS!D9="","",BS!D9)</f>
        <v>60000</v>
      </c>
      <c r="D27" s="6">
        <f>IF(BS!E9="","",BS!E9)</f>
        <v>62000</v>
      </c>
      <c r="E27" s="6">
        <f>IF(BS!F9="","",BS!F9)</f>
        <v>64000</v>
      </c>
      <c r="F27" s="6">
        <f>IF(BS!G9="","",BS!G9)</f>
        <v>67000</v>
      </c>
      <c r="G27" s="6">
        <f>IF(BS!H9="","",BS!H9)</f>
        <v>75000</v>
      </c>
      <c r="H27" s="6">
        <f>IF(BS!I9="","",BS!I9)</f>
        <v>79000</v>
      </c>
      <c r="I27" s="6">
        <f>IF(BS!J9="","",BS!J9)</f>
        <v>82000</v>
      </c>
      <c r="J27" s="6">
        <f>IF(BS!K9="","",BS!K9)</f>
        <v>84000</v>
      </c>
      <c r="K27" s="6">
        <f>IF(BS!L9="","",BS!L9)</f>
        <v>90000</v>
      </c>
      <c r="L27" s="6">
        <f>IF(BS!M9="","",BS!M9)</f>
        <v>92000</v>
      </c>
      <c r="M27" s="6">
        <f>IF(BS!N9="","",BS!N9)</f>
        <v>95000</v>
      </c>
      <c r="N27" s="6">
        <f>IF(BS!O9="","",BS!O9)</f>
        <v>99000</v>
      </c>
      <c r="O27" s="6" t="str">
        <f>IF(BS!P9="","",BS!P9)</f>
        <v/>
      </c>
      <c r="P27" s="6" t="str">
        <f t="shared" ref="P27:P29" si="10">B27</f>
        <v>Oszczędności</v>
      </c>
      <c r="Q27" s="6" cm="1">
        <f t="array" ref="Q27">LOOKUP(2,1/(C27:N27&lt;&gt;""),C27:N27)</f>
        <v>99000</v>
      </c>
    </row>
    <row r="28" spans="2:18" x14ac:dyDescent="0.25">
      <c r="B28" s="6" t="s">
        <v>65</v>
      </c>
      <c r="C28" s="6">
        <f>IF(BS!D20="","",BS!D20)</f>
        <v>15100</v>
      </c>
      <c r="D28" s="6">
        <f>IF(BS!E20="","",BS!E20)</f>
        <v>15160</v>
      </c>
      <c r="E28" s="6">
        <f>IF(BS!F20="","",BS!F20)</f>
        <v>15020</v>
      </c>
      <c r="F28" s="6">
        <f>IF(BS!G20="","",BS!G20)</f>
        <v>15205</v>
      </c>
      <c r="G28" s="6">
        <f>IF(BS!H20="","",BS!H20)</f>
        <v>15225</v>
      </c>
      <c r="H28" s="6">
        <f>IF(BS!I20="","",BS!I20)</f>
        <v>15160</v>
      </c>
      <c r="I28" s="6">
        <f>IF(BS!J20="","",BS!J20)</f>
        <v>15020</v>
      </c>
      <c r="J28" s="6">
        <f>IF(BS!K20="","",BS!K20)</f>
        <v>15100</v>
      </c>
      <c r="K28" s="6">
        <f>IF(BS!L20="","",BS!L20)</f>
        <v>15160</v>
      </c>
      <c r="L28" s="6">
        <f>IF(BS!M20="","",BS!M20)</f>
        <v>20020</v>
      </c>
      <c r="M28" s="6">
        <f>IF(BS!N20="","",BS!N20)</f>
        <v>40215</v>
      </c>
      <c r="N28" s="6">
        <f>IF(BS!O20="","",BS!O20)</f>
        <v>45240</v>
      </c>
      <c r="P28" s="6" t="str">
        <f t="shared" si="10"/>
        <v>Fundusze</v>
      </c>
      <c r="Q28" s="6" cm="1">
        <f t="array" ref="Q28">LOOKUP(2,1/(C28:N28&lt;&gt;""),C28:N28)</f>
        <v>45240</v>
      </c>
    </row>
    <row r="29" spans="2:18" x14ac:dyDescent="0.25">
      <c r="B29" s="6" t="s">
        <v>64</v>
      </c>
      <c r="C29" s="6">
        <f>IF(BS!D14="","",BS!D14)</f>
        <v>16250</v>
      </c>
      <c r="D29" s="6">
        <f>IF(BS!E14="","",BS!E14)</f>
        <v>16625</v>
      </c>
      <c r="E29" s="6">
        <f>IF(BS!F14="","",BS!F14)</f>
        <v>16560</v>
      </c>
      <c r="F29" s="6">
        <f>IF(BS!G14="","",BS!G14)</f>
        <v>16840</v>
      </c>
      <c r="G29" s="6">
        <f>IF(BS!H14="","",BS!H14)</f>
        <v>17080</v>
      </c>
      <c r="H29" s="6">
        <f>IF(BS!I14="","",BS!I14)</f>
        <v>16560</v>
      </c>
      <c r="I29" s="6">
        <f>IF(BS!J14="","",BS!J14)</f>
        <v>16250</v>
      </c>
      <c r="J29" s="6">
        <f>IF(BS!K14="","",BS!K14)</f>
        <v>16625</v>
      </c>
      <c r="K29" s="6">
        <f>IF(BS!L14="","",BS!L14)</f>
        <v>16560</v>
      </c>
      <c r="L29" s="6">
        <f>IF(BS!M14="","",BS!M14)</f>
        <v>16840</v>
      </c>
      <c r="M29" s="6">
        <f>IF(BS!N14="","",BS!N14)</f>
        <v>17080</v>
      </c>
      <c r="N29" s="6">
        <f>IF(BS!O14="","",BS!O14)</f>
        <v>16560</v>
      </c>
      <c r="P29" s="6" t="str">
        <f t="shared" si="10"/>
        <v>Akcje</v>
      </c>
      <c r="Q29" s="6" cm="1">
        <f t="array" ref="Q29">LOOKUP(2,1/(C29:N29&lt;&gt;""),C29:N29)</f>
        <v>16560</v>
      </c>
    </row>
    <row r="31" spans="2:18" x14ac:dyDescent="0.25">
      <c r="B31" s="6" t="s">
        <v>81</v>
      </c>
      <c r="C31" s="6">
        <f>IF(AND(BS!D9="",BS!D10=""),"",BS!D9+BS!D10)</f>
        <v>100000</v>
      </c>
      <c r="D31" s="6">
        <f>IF(AND(BS!E9="",BS!E10=""),"",BS!E9+BS!E10)</f>
        <v>102000</v>
      </c>
      <c r="E31" s="6">
        <f>IF(AND(BS!F9="",BS!F10=""),"",BS!F9+BS!F10)</f>
        <v>104000</v>
      </c>
      <c r="F31" s="6">
        <f>IF(AND(BS!G9="",BS!G10=""),"",BS!G9+BS!G10)</f>
        <v>107000</v>
      </c>
      <c r="G31" s="6">
        <f>IF(AND(BS!H9="",BS!H10=""),"",BS!H9+BS!H10)</f>
        <v>115000</v>
      </c>
      <c r="H31" s="6">
        <f>IF(AND(BS!I9="",BS!I10=""),"",BS!I9+BS!I10)</f>
        <v>119000</v>
      </c>
      <c r="I31" s="6">
        <f>IF(AND(BS!J9="",BS!J10=""),"",BS!J9+BS!J10)</f>
        <v>122000</v>
      </c>
      <c r="J31" s="6">
        <f>IF(AND(BS!K9="",BS!K10=""),"",BS!K9+BS!K10)</f>
        <v>124000</v>
      </c>
      <c r="K31" s="6">
        <f>IF(AND(BS!L9="",BS!L10=""),"",BS!L9+BS!L10)</f>
        <v>130000</v>
      </c>
      <c r="L31" s="6">
        <f>IF(AND(BS!M9="",BS!M10=""),"",BS!M9+BS!M10)</f>
        <v>132000</v>
      </c>
      <c r="M31" s="6">
        <f>IF(AND(BS!N9="",BS!N10=""),"",BS!N9+BS!N10)</f>
        <v>135000</v>
      </c>
      <c r="N31" s="6">
        <f>IF(AND(BS!O9="",BS!O10=""),"",BS!O9+BS!O10)</f>
        <v>139000</v>
      </c>
      <c r="P31" s="6" t="str">
        <f>B31</f>
        <v>Oszczędności i lokaty</v>
      </c>
      <c r="Q31" s="6" cm="1">
        <f t="array" ref="Q31">LOOKUP(2,1/(C31:N31&lt;&gt;""),C31:N31)</f>
        <v>139000</v>
      </c>
    </row>
    <row r="35" spans="2:2" x14ac:dyDescent="0.25">
      <c r="B35" s="47"/>
    </row>
    <row r="46" spans="2:2" x14ac:dyDescent="0.25">
      <c r="B46" s="1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950A3-6413-4E30-8C82-4F989DDE547B}">
  <sheetPr codeName="Sheet2">
    <pageSetUpPr fitToPage="1"/>
  </sheetPr>
  <dimension ref="A1:H26"/>
  <sheetViews>
    <sheetView showGridLines="0" tabSelected="1" zoomScaleNormal="100" workbookViewId="0"/>
  </sheetViews>
  <sheetFormatPr defaultRowHeight="15" x14ac:dyDescent="0.25"/>
  <cols>
    <col min="1" max="1" width="3.7109375" customWidth="1"/>
    <col min="2" max="2" width="4.7109375" customWidth="1"/>
    <col min="3" max="3" width="12.5703125" bestFit="1" customWidth="1"/>
    <col min="7" max="7" width="3.7109375" customWidth="1"/>
    <col min="8" max="8" width="9.140625" style="45"/>
    <col min="9" max="16384" width="9.140625" style="44"/>
  </cols>
  <sheetData>
    <row r="1" spans="2:6" ht="8.1" customHeight="1" x14ac:dyDescent="0.25">
      <c r="B1" s="20"/>
      <c r="C1" s="20"/>
      <c r="D1" s="20"/>
      <c r="E1" s="20"/>
      <c r="F1" s="20"/>
    </row>
    <row r="2" spans="2:6" ht="36" x14ac:dyDescent="0.55000000000000004">
      <c r="B2" s="19" t="s">
        <v>45</v>
      </c>
    </row>
    <row r="4" spans="2:6" ht="23.25" x14ac:dyDescent="0.35">
      <c r="B4" s="41" t="s">
        <v>43</v>
      </c>
      <c r="C4" s="42"/>
      <c r="D4" s="42"/>
      <c r="E4" s="42"/>
      <c r="F4" s="42"/>
    </row>
    <row r="5" spans="2:6" ht="8.1" customHeight="1" x14ac:dyDescent="0.25"/>
    <row r="9" spans="2:6" ht="23.25" x14ac:dyDescent="0.35">
      <c r="B9" s="41" t="s">
        <v>36</v>
      </c>
      <c r="C9" s="42"/>
      <c r="D9" s="42"/>
      <c r="E9" s="42"/>
      <c r="F9" s="42"/>
    </row>
    <row r="10" spans="2:6" ht="8.1" customHeight="1" x14ac:dyDescent="0.25"/>
    <row r="11" spans="2:6" x14ac:dyDescent="0.25">
      <c r="B11" s="1" t="s">
        <v>3</v>
      </c>
    </row>
    <row r="12" spans="2:6" x14ac:dyDescent="0.25">
      <c r="C12" t="s">
        <v>4</v>
      </c>
      <c r="D12" s="18">
        <v>2024</v>
      </c>
    </row>
    <row r="13" spans="2:6" x14ac:dyDescent="0.25">
      <c r="C13" t="s">
        <v>5</v>
      </c>
      <c r="D13" s="34" t="s">
        <v>19</v>
      </c>
    </row>
    <row r="15" spans="2:6" x14ac:dyDescent="0.25">
      <c r="B15" s="1" t="str">
        <f>(IF(SUM(D16:D18)=1,"Proporcje podziału wpływów","Proporcje muszą sumować się do 1"))</f>
        <v>Proporcje podziału wpływów</v>
      </c>
    </row>
    <row r="16" spans="2:6" x14ac:dyDescent="0.25">
      <c r="C16" t="s">
        <v>0</v>
      </c>
      <c r="D16">
        <v>0.5</v>
      </c>
    </row>
    <row r="17" spans="2:6" x14ac:dyDescent="0.25">
      <c r="C17" t="s">
        <v>1</v>
      </c>
      <c r="D17">
        <v>0.35</v>
      </c>
    </row>
    <row r="18" spans="2:6" x14ac:dyDescent="0.25">
      <c r="C18" t="s">
        <v>2</v>
      </c>
      <c r="D18">
        <v>0.15</v>
      </c>
    </row>
    <row r="19" spans="2:6" x14ac:dyDescent="0.25">
      <c r="B19" s="43"/>
      <c r="C19" s="43"/>
      <c r="D19" s="43"/>
      <c r="E19" s="43"/>
      <c r="F19" s="43"/>
    </row>
    <row r="21" spans="2:6" x14ac:dyDescent="0.25">
      <c r="B21" s="49" t="s">
        <v>87</v>
      </c>
    </row>
    <row r="26" spans="2:6" x14ac:dyDescent="0.25">
      <c r="B26" s="1" t="s">
        <v>92</v>
      </c>
    </row>
  </sheetData>
  <conditionalFormatting sqref="B15">
    <cfRule type="containsText" dxfId="118" priority="1" operator="containsText" text="muszą">
      <formula>NOT(ISERROR(SEARCH("muszą",B15)))</formula>
    </cfRule>
  </conditionalFormatting>
  <dataValidations count="2">
    <dataValidation type="list" allowBlank="1" showInputMessage="1" showErrorMessage="1" errorTitle="Błąd" error="Wybierz odpowiedni miesiąc z listy." sqref="D13" xr:uid="{DFE3FC7C-F2DE-4768-98A9-9978C61A6AC7}">
      <formula1>months</formula1>
    </dataValidation>
    <dataValidation type="list" allowBlank="1" showInputMessage="1" showErrorMessage="1" errorTitle="Błąd" error="Wybierz odpowiedni rok z listy." sqref="D12" xr:uid="{5436E41F-42E7-4F5D-A411-D37061ACCBED}">
      <formula1>years</formula1>
    </dataValidation>
  </dataValidations>
  <pageMargins left="0.70866141732283472" right="0.70866141732283472" top="0.74803149606299213" bottom="0.74803149606299213" header="0.31496062992125984" footer="0.31496062992125984"/>
  <pageSetup paperSize="9" scale="45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A3083-94F8-4CCC-8597-58FCA200D538}">
  <sheetPr codeName="Sheet3"/>
  <dimension ref="B1:BD34"/>
  <sheetViews>
    <sheetView showGridLines="0" zoomScaleNormal="100" workbookViewId="0">
      <selection activeCell="Q45" sqref="Q45"/>
    </sheetView>
  </sheetViews>
  <sheetFormatPr defaultRowHeight="15" x14ac:dyDescent="0.25"/>
  <cols>
    <col min="1" max="1" width="3.7109375" customWidth="1"/>
    <col min="2" max="2" width="19.42578125" bestFit="1" customWidth="1"/>
    <col min="3" max="3" width="3.7109375" customWidth="1"/>
    <col min="4" max="4" width="9.140625" style="6"/>
    <col min="5" max="5" width="10.140625" style="6" bestFit="1" customWidth="1"/>
    <col min="6" max="6" width="9.140625" style="6"/>
    <col min="7" max="7" width="3.7109375" customWidth="1"/>
    <col min="11" max="11" width="3.7109375" customWidth="1"/>
    <col min="15" max="15" width="3.7109375" customWidth="1"/>
    <col min="19" max="19" width="3.7109375" customWidth="1"/>
    <col min="23" max="23" width="3.7109375" customWidth="1"/>
    <col min="27" max="27" width="3.7109375" customWidth="1"/>
    <col min="31" max="31" width="3.7109375" customWidth="1"/>
    <col min="35" max="35" width="3.7109375" customWidth="1"/>
    <col min="39" max="39" width="3.7109375" customWidth="1"/>
    <col min="43" max="43" width="3.7109375" customWidth="1"/>
    <col min="47" max="47" width="3.7109375" customWidth="1"/>
    <col min="51" max="52" width="3.7109375" customWidth="1"/>
    <col min="53" max="53" width="11.7109375" bestFit="1" customWidth="1"/>
    <col min="55" max="55" width="9.85546875" bestFit="1" customWidth="1"/>
  </cols>
  <sheetData>
    <row r="1" spans="2:56" s="23" customFormat="1" ht="30" customHeight="1" x14ac:dyDescent="0.25">
      <c r="D1" s="24"/>
      <c r="E1" s="24"/>
      <c r="F1" s="24"/>
    </row>
    <row r="2" spans="2:56" ht="8.1" customHeight="1" x14ac:dyDescent="0.25">
      <c r="B2" s="20"/>
      <c r="C2" s="20"/>
      <c r="D2" s="20"/>
      <c r="E2" s="20"/>
      <c r="F2" s="20"/>
    </row>
    <row r="3" spans="2:56" ht="36" x14ac:dyDescent="0.55000000000000004">
      <c r="B3" s="19" t="s">
        <v>44</v>
      </c>
      <c r="D3"/>
      <c r="E3"/>
      <c r="F3"/>
    </row>
    <row r="4" spans="2:56" ht="15" customHeight="1" x14ac:dyDescent="0.35">
      <c r="B4" s="5"/>
      <c r="D4" s="16" t="s">
        <v>71</v>
      </c>
    </row>
    <row r="5" spans="2:56" x14ac:dyDescent="0.25">
      <c r="AZ5" s="15"/>
    </row>
    <row r="6" spans="2:56" ht="23.25" x14ac:dyDescent="0.35">
      <c r="B6" s="3" t="s">
        <v>88</v>
      </c>
      <c r="D6" s="21" t="str">
        <f>tech!E22</f>
        <v>Styczeń</v>
      </c>
      <c r="E6" s="22"/>
      <c r="F6" s="22"/>
      <c r="H6" s="21" t="str">
        <f>tech!E23</f>
        <v>Luty</v>
      </c>
      <c r="I6" s="22"/>
      <c r="J6" s="22"/>
      <c r="L6" s="21" t="str">
        <f>tech!E24</f>
        <v>Marzec</v>
      </c>
      <c r="M6" s="22"/>
      <c r="N6" s="22"/>
      <c r="P6" s="21" t="str">
        <f>tech!E25</f>
        <v>Kwiecień</v>
      </c>
      <c r="Q6" s="22"/>
      <c r="R6" s="22"/>
      <c r="T6" s="21" t="str">
        <f>tech!E26</f>
        <v>Maj</v>
      </c>
      <c r="U6" s="22"/>
      <c r="V6" s="22"/>
      <c r="X6" s="21" t="str">
        <f>tech!E27</f>
        <v>Czerwiec</v>
      </c>
      <c r="Y6" s="22"/>
      <c r="Z6" s="22"/>
      <c r="AB6" s="21" t="str">
        <f>tech!E28</f>
        <v>Lipiec</v>
      </c>
      <c r="AC6" s="22"/>
      <c r="AD6" s="22"/>
      <c r="AF6" s="21" t="str">
        <f>tech!E29</f>
        <v>Sierpień</v>
      </c>
      <c r="AG6" s="22"/>
      <c r="AH6" s="22"/>
      <c r="AJ6" s="21" t="str">
        <f>tech!E30</f>
        <v>Wrzesień</v>
      </c>
      <c r="AK6" s="22"/>
      <c r="AL6" s="22"/>
      <c r="AN6" s="21" t="str">
        <f>tech!E31</f>
        <v>Październik</v>
      </c>
      <c r="AO6" s="22"/>
      <c r="AP6" s="22"/>
      <c r="AR6" s="21" t="str">
        <f>tech!E32</f>
        <v>Listopad</v>
      </c>
      <c r="AS6" s="22"/>
      <c r="AT6" s="22"/>
      <c r="AV6" s="21" t="str">
        <f>tech!E33</f>
        <v>Grudzień</v>
      </c>
      <c r="AW6" s="22"/>
      <c r="AX6" s="22"/>
      <c r="AZ6" s="15"/>
      <c r="BA6" s="3" t="s">
        <v>38</v>
      </c>
      <c r="BC6" s="3">
        <f>start!D12</f>
        <v>2024</v>
      </c>
      <c r="BD6" s="17" t="s">
        <v>42</v>
      </c>
    </row>
    <row r="7" spans="2:56" x14ac:dyDescent="0.25">
      <c r="H7" s="6"/>
      <c r="I7" s="6"/>
      <c r="J7" s="6"/>
      <c r="L7" s="6"/>
      <c r="M7" s="6"/>
      <c r="N7" s="6"/>
      <c r="P7" s="6"/>
      <c r="Q7" s="6"/>
      <c r="R7" s="6"/>
      <c r="T7" s="6"/>
      <c r="U7" s="6"/>
      <c r="V7" s="6"/>
      <c r="X7" s="6"/>
      <c r="Y7" s="6"/>
      <c r="Z7" s="6"/>
      <c r="AB7" s="6"/>
      <c r="AC7" s="6"/>
      <c r="AD7" s="6"/>
      <c r="AF7" s="6"/>
      <c r="AG7" s="6"/>
      <c r="AH7" s="6"/>
      <c r="AJ7" s="6"/>
      <c r="AK7" s="6"/>
      <c r="AL7" s="6"/>
      <c r="AN7" s="6"/>
      <c r="AO7" s="6"/>
      <c r="AP7" s="6"/>
      <c r="AR7" s="6"/>
      <c r="AS7" s="6"/>
      <c r="AT7" s="6"/>
      <c r="AV7" s="6"/>
      <c r="AW7" s="6"/>
      <c r="AX7" s="6"/>
      <c r="AZ7" s="15"/>
    </row>
    <row r="8" spans="2:56" x14ac:dyDescent="0.25">
      <c r="B8" t="s">
        <v>32</v>
      </c>
      <c r="D8" s="7">
        <v>7500</v>
      </c>
      <c r="E8" s="14" t="str">
        <f>IF(D8="","",IF(E14&gt;D8,"REAL &gt; Wypłata!",""))</f>
        <v/>
      </c>
      <c r="H8" s="7">
        <v>7500</v>
      </c>
      <c r="I8" s="14" t="str">
        <f>IF(H8="","",IF(I14&gt;H8,"REAL &gt; Wypłata!",""))</f>
        <v/>
      </c>
      <c r="J8" s="6"/>
      <c r="L8" s="7">
        <v>7500</v>
      </c>
      <c r="M8" s="14" t="str">
        <f>IF(L8="","",IF(M14&gt;L8,"REAL &gt; Wypłata!",""))</f>
        <v/>
      </c>
      <c r="N8" s="6"/>
      <c r="P8" s="7">
        <v>7500</v>
      </c>
      <c r="Q8" s="14" t="str">
        <f>IF(P8="","",IF(Q14&gt;P8,"REAL &gt; Wypłata!",""))</f>
        <v/>
      </c>
      <c r="R8" s="6"/>
      <c r="T8" s="7">
        <v>9000</v>
      </c>
      <c r="U8" s="14" t="str">
        <f>IF(T8="","",IF(U14&gt;T8,"REAL &gt; Wypłata!",""))</f>
        <v/>
      </c>
      <c r="V8" s="6"/>
      <c r="X8" s="7">
        <v>9000</v>
      </c>
      <c r="Y8" s="14" t="str">
        <f>IF(X8="","",IF(Y14&gt;X8,"REAL &gt; Wypłata!",""))</f>
        <v/>
      </c>
      <c r="Z8" s="6"/>
      <c r="AB8" s="7">
        <v>9000</v>
      </c>
      <c r="AC8" s="14" t="str">
        <f>IF(AB8="","",IF(AC14&gt;AB8,"REAL &gt; Wypłata!",""))</f>
        <v/>
      </c>
      <c r="AD8" s="6"/>
      <c r="AF8" s="7">
        <v>9000</v>
      </c>
      <c r="AG8" s="14" t="str">
        <f>IF(AF8="","",IF(AG14&gt;AF8,"REAL &gt; Wypłata!",""))</f>
        <v/>
      </c>
      <c r="AH8" s="6"/>
      <c r="AJ8" s="7">
        <v>9000</v>
      </c>
      <c r="AK8" s="14" t="str">
        <f>IF(AJ8="","",IF(AK14&gt;AJ8,"REAL &gt; Wypłata!",""))</f>
        <v/>
      </c>
      <c r="AL8" s="6"/>
      <c r="AN8" s="7">
        <v>9000</v>
      </c>
      <c r="AO8" s="14" t="str">
        <f>IF(AN8="","",IF(AO14&gt;AN8,"REAL &gt; Wypłata!",""))</f>
        <v/>
      </c>
      <c r="AP8" s="6"/>
      <c r="AR8" s="7">
        <v>9000</v>
      </c>
      <c r="AS8" s="14" t="str">
        <f>IF(AR8="","",IF(AS14&gt;AR8,"REAL &gt; Wypłata!",""))</f>
        <v/>
      </c>
      <c r="AT8" s="6"/>
      <c r="AV8" s="7">
        <v>9000</v>
      </c>
      <c r="AW8" s="14" t="str">
        <f>IF(AV8="","",IF(AW14&gt;AV8,"REAL &gt; Wypłata!",""))</f>
        <v/>
      </c>
      <c r="AX8" s="6"/>
      <c r="AZ8" s="15"/>
      <c r="BA8" s="6">
        <f>IF(D8="","",SUM(D8:AX8))</f>
        <v>102000</v>
      </c>
    </row>
    <row r="9" spans="2:56" x14ac:dyDescent="0.25">
      <c r="B9" t="s">
        <v>37</v>
      </c>
      <c r="D9" s="7">
        <v>1500</v>
      </c>
      <c r="H9" s="7">
        <v>1500</v>
      </c>
      <c r="I9" s="6"/>
      <c r="J9" s="6"/>
      <c r="L9" s="7">
        <v>1500</v>
      </c>
      <c r="M9" s="6"/>
      <c r="N9" s="6"/>
      <c r="P9" s="7">
        <v>1850</v>
      </c>
      <c r="Q9" s="6"/>
      <c r="R9" s="6"/>
      <c r="T9" s="7">
        <v>1500</v>
      </c>
      <c r="U9" s="6"/>
      <c r="V9" s="6"/>
      <c r="X9" s="7">
        <v>1500</v>
      </c>
      <c r="Y9" s="6"/>
      <c r="Z9" s="6"/>
      <c r="AB9" s="7">
        <v>1500</v>
      </c>
      <c r="AC9" s="6"/>
      <c r="AD9" s="6"/>
      <c r="AF9" s="7">
        <v>1600</v>
      </c>
      <c r="AG9" s="6"/>
      <c r="AH9" s="6"/>
      <c r="AJ9" s="7">
        <v>1600</v>
      </c>
      <c r="AK9" s="6"/>
      <c r="AL9" s="6"/>
      <c r="AN9" s="7">
        <v>1600</v>
      </c>
      <c r="AO9" s="6"/>
      <c r="AP9" s="6"/>
      <c r="AR9" s="7">
        <v>1600</v>
      </c>
      <c r="AS9" s="6"/>
      <c r="AT9" s="6"/>
      <c r="AV9" s="7">
        <v>1400</v>
      </c>
      <c r="AW9" s="6"/>
      <c r="AX9" s="6"/>
      <c r="AZ9" s="15"/>
      <c r="BA9" s="6">
        <f>IF(D9="","",SUM(D9:AX9))</f>
        <v>18650</v>
      </c>
    </row>
    <row r="10" spans="2:56" x14ac:dyDescent="0.25">
      <c r="B10" s="12" t="s">
        <v>39</v>
      </c>
      <c r="H10" s="6"/>
      <c r="I10" s="6"/>
      <c r="J10" s="6"/>
      <c r="L10" s="6"/>
      <c r="M10" s="6"/>
      <c r="N10" s="6"/>
      <c r="P10" s="6"/>
      <c r="Q10" s="6"/>
      <c r="R10" s="6"/>
      <c r="T10" s="6"/>
      <c r="U10" s="6"/>
      <c r="V10" s="6"/>
      <c r="X10" s="6"/>
      <c r="Y10" s="6"/>
      <c r="Z10" s="6"/>
      <c r="AB10" s="6"/>
      <c r="AC10" s="6"/>
      <c r="AD10" s="6"/>
      <c r="AF10" s="6"/>
      <c r="AG10" s="6"/>
      <c r="AH10" s="6"/>
      <c r="AJ10" s="6"/>
      <c r="AK10" s="6"/>
      <c r="AL10" s="6"/>
      <c r="AN10" s="6"/>
      <c r="AO10" s="6"/>
      <c r="AP10" s="6"/>
      <c r="AR10" s="6"/>
      <c r="AS10" s="6"/>
      <c r="AT10" s="6"/>
      <c r="AV10" s="6"/>
      <c r="AW10" s="6"/>
      <c r="AX10" s="6"/>
      <c r="AZ10" s="15"/>
    </row>
    <row r="11" spans="2:56" x14ac:dyDescent="0.25">
      <c r="D11" s="8" t="s">
        <v>33</v>
      </c>
      <c r="E11" s="8" t="s">
        <v>34</v>
      </c>
      <c r="F11" s="9" t="s">
        <v>35</v>
      </c>
      <c r="H11" s="8" t="s">
        <v>33</v>
      </c>
      <c r="I11" s="8" t="s">
        <v>34</v>
      </c>
      <c r="J11" s="9" t="s">
        <v>35</v>
      </c>
      <c r="L11" s="8" t="s">
        <v>33</v>
      </c>
      <c r="M11" s="8" t="s">
        <v>34</v>
      </c>
      <c r="N11" s="9" t="s">
        <v>35</v>
      </c>
      <c r="P11" s="8" t="s">
        <v>33</v>
      </c>
      <c r="Q11" s="8" t="s">
        <v>34</v>
      </c>
      <c r="R11" s="9" t="s">
        <v>35</v>
      </c>
      <c r="T11" s="8" t="s">
        <v>33</v>
      </c>
      <c r="U11" s="8" t="s">
        <v>34</v>
      </c>
      <c r="V11" s="9" t="s">
        <v>35</v>
      </c>
      <c r="X11" s="8" t="s">
        <v>33</v>
      </c>
      <c r="Y11" s="8" t="s">
        <v>34</v>
      </c>
      <c r="Z11" s="9" t="s">
        <v>35</v>
      </c>
      <c r="AB11" s="8" t="s">
        <v>33</v>
      </c>
      <c r="AC11" s="8" t="s">
        <v>34</v>
      </c>
      <c r="AD11" s="9" t="s">
        <v>35</v>
      </c>
      <c r="AF11" s="8" t="s">
        <v>33</v>
      </c>
      <c r="AG11" s="8" t="s">
        <v>34</v>
      </c>
      <c r="AH11" s="9" t="s">
        <v>35</v>
      </c>
      <c r="AJ11" s="8" t="s">
        <v>33</v>
      </c>
      <c r="AK11" s="8" t="s">
        <v>34</v>
      </c>
      <c r="AL11" s="9" t="s">
        <v>35</v>
      </c>
      <c r="AN11" s="8" t="s">
        <v>33</v>
      </c>
      <c r="AO11" s="8" t="s">
        <v>34</v>
      </c>
      <c r="AP11" s="9" t="s">
        <v>35</v>
      </c>
      <c r="AR11" s="8" t="s">
        <v>33</v>
      </c>
      <c r="AS11" s="8" t="s">
        <v>34</v>
      </c>
      <c r="AT11" s="9" t="s">
        <v>35</v>
      </c>
      <c r="AV11" s="8" t="s">
        <v>33</v>
      </c>
      <c r="AW11" s="8" t="s">
        <v>34</v>
      </c>
      <c r="AX11" s="9" t="s">
        <v>35</v>
      </c>
      <c r="AZ11" s="15"/>
      <c r="BA11" s="8" t="s">
        <v>33</v>
      </c>
      <c r="BB11" s="8" t="s">
        <v>34</v>
      </c>
      <c r="BC11" s="9" t="s">
        <v>35</v>
      </c>
    </row>
    <row r="12" spans="2:56" x14ac:dyDescent="0.25">
      <c r="B12" t="s">
        <v>0</v>
      </c>
      <c r="D12" s="10">
        <f>IF(D8="","",D8*rate_home-D9)</f>
        <v>2250</v>
      </c>
      <c r="E12" s="10">
        <v>3750</v>
      </c>
      <c r="F12" s="10">
        <f>IFERROR(IF(E12="","",E12-D12),"")</f>
        <v>1500</v>
      </c>
      <c r="H12" s="10">
        <f>IF(H8="","",H8*rate_home-H9)</f>
        <v>2250</v>
      </c>
      <c r="I12" s="10">
        <v>4000</v>
      </c>
      <c r="J12" s="10">
        <f>IFERROR(IF(I12="","",I12-H12),"")</f>
        <v>1750</v>
      </c>
      <c r="L12" s="10">
        <f>IF(L8="","",L8*rate_home-L9)</f>
        <v>2250</v>
      </c>
      <c r="M12" s="10">
        <v>4000</v>
      </c>
      <c r="N12" s="10">
        <f>IFERROR(IF(M12="","",M12-L12),"")</f>
        <v>1750</v>
      </c>
      <c r="P12" s="10">
        <f>IF(P8="","",P8*rate_home-P9)</f>
        <v>1900</v>
      </c>
      <c r="Q12" s="10">
        <v>3900</v>
      </c>
      <c r="R12" s="10">
        <f>IFERROR(IF(Q12="","",Q12-P12),"")</f>
        <v>2000</v>
      </c>
      <c r="T12" s="10">
        <f>IF(T8="","",T8*rate_home-T9)</f>
        <v>3000</v>
      </c>
      <c r="U12" s="10">
        <v>4750</v>
      </c>
      <c r="V12" s="10">
        <f>IFERROR(IF(U12="","",U12-T12),"")</f>
        <v>1750</v>
      </c>
      <c r="X12" s="10">
        <f>IF(X8="","",X8*rate_home-X9)</f>
        <v>3000</v>
      </c>
      <c r="Y12" s="10">
        <v>4750</v>
      </c>
      <c r="Z12" s="10">
        <f>IFERROR(IF(Y12="","",Y12-X12),"")</f>
        <v>1750</v>
      </c>
      <c r="AB12" s="10">
        <f>IF(AB8="","",AB8*rate_home-AB9)</f>
        <v>3000</v>
      </c>
      <c r="AC12" s="10">
        <v>3100</v>
      </c>
      <c r="AD12" s="10">
        <f>IFERROR(IF(AC12="","",AC12-AB12),"")</f>
        <v>100</v>
      </c>
      <c r="AF12" s="10">
        <f>IF(AF8="","",AF8*rate_home-AF9)</f>
        <v>2900</v>
      </c>
      <c r="AG12" s="10">
        <v>2900</v>
      </c>
      <c r="AH12" s="10">
        <f>IFERROR(IF(AG12="","",AG12-AF12),"")</f>
        <v>0</v>
      </c>
      <c r="AJ12" s="10">
        <f>IF(AJ8="","",AJ8*rate_home-AJ9)</f>
        <v>2900</v>
      </c>
      <c r="AK12" s="10">
        <v>2900</v>
      </c>
      <c r="AL12" s="10">
        <f>IFERROR(IF(AK12="","",AK12-AJ12),"")</f>
        <v>0</v>
      </c>
      <c r="AN12" s="10">
        <f>IF(AN8="","",AN8*rate_home-AN9)</f>
        <v>2900</v>
      </c>
      <c r="AO12" s="10">
        <v>3200</v>
      </c>
      <c r="AP12" s="10">
        <f>IFERROR(IF(AO12="","",AO12-AN12),"")</f>
        <v>300</v>
      </c>
      <c r="AR12" s="10">
        <f>IF(AR8="","",AR8*rate_home-AR9)</f>
        <v>2900</v>
      </c>
      <c r="AS12" s="10">
        <v>3000</v>
      </c>
      <c r="AT12" s="10">
        <f>IFERROR(IF(AS12="","",AS12-AR12),"")</f>
        <v>100</v>
      </c>
      <c r="AV12" s="10">
        <f>IF(AV8="","",AV8*rate_home-AV9)</f>
        <v>3100</v>
      </c>
      <c r="AW12" s="10">
        <v>3100</v>
      </c>
      <c r="AX12" s="10">
        <f>IFERROR(IF(AW12="","",AW12-AV12),"")</f>
        <v>0</v>
      </c>
      <c r="AZ12" s="15"/>
      <c r="BA12" s="10">
        <f>IF(D12="","",SUM(D12,H12,L12,P12,T12,X12,AB12,AF12,AJ12,AN12,AR12,AV12))</f>
        <v>32350</v>
      </c>
      <c r="BB12" s="10">
        <f>IF(E12="","",SUM(E12,I12,M12,Q12,U12,Y12,AC12,AG12,AK12,AO12,AS12,AW12))</f>
        <v>43350</v>
      </c>
      <c r="BC12" s="10">
        <f>IFERROR(IF(BB12="","",BB12-BA12),"")</f>
        <v>11000</v>
      </c>
    </row>
    <row r="13" spans="2:56" x14ac:dyDescent="0.25">
      <c r="B13" t="s">
        <v>1</v>
      </c>
      <c r="D13" s="10">
        <f>IF(D8="","",D8*rate_savings)</f>
        <v>2625</v>
      </c>
      <c r="E13" s="10">
        <v>2700</v>
      </c>
      <c r="F13" s="10">
        <f>IFERROR(IF(E13="","",E13-D13),"")</f>
        <v>75</v>
      </c>
      <c r="H13" s="10">
        <f>IF(H8="","",H8*rate_savings)</f>
        <v>2625</v>
      </c>
      <c r="I13" s="10">
        <v>2625</v>
      </c>
      <c r="J13" s="10">
        <f>IFERROR(IF(I13="","",I13-H13),"")</f>
        <v>0</v>
      </c>
      <c r="L13" s="10">
        <f>IF(L8="","",L8*rate_savings)</f>
        <v>2625</v>
      </c>
      <c r="M13" s="10">
        <v>2800</v>
      </c>
      <c r="N13" s="10">
        <f>IFERROR(IF(M13="","",M13-L13),"")</f>
        <v>175</v>
      </c>
      <c r="P13" s="10">
        <f>IF(P8="","",P8*rate_savings)</f>
        <v>2625</v>
      </c>
      <c r="Q13" s="10">
        <v>3000</v>
      </c>
      <c r="R13" s="10">
        <f>IFERROR(IF(Q13="","",Q13-P13),"")</f>
        <v>375</v>
      </c>
      <c r="T13" s="10">
        <f>IF(T8="","",T8*rate_savings)</f>
        <v>3150</v>
      </c>
      <c r="U13" s="10">
        <v>3500</v>
      </c>
      <c r="V13" s="10">
        <f>IFERROR(IF(U13="","",U13-T13),"")</f>
        <v>350</v>
      </c>
      <c r="X13" s="10">
        <f>IF(X8="","",X8*rate_savings)</f>
        <v>3150</v>
      </c>
      <c r="Y13" s="10">
        <v>3500</v>
      </c>
      <c r="Z13" s="10">
        <f>IFERROR(IF(Y13="","",Y13-X13),"")</f>
        <v>350</v>
      </c>
      <c r="AB13" s="10">
        <f>IF(AB8="","",AB8*rate_savings)</f>
        <v>3150</v>
      </c>
      <c r="AC13" s="10">
        <v>3000</v>
      </c>
      <c r="AD13" s="10">
        <f>IFERROR(IF(AC13="","",AC13-AB13),"")</f>
        <v>-150</v>
      </c>
      <c r="AF13" s="10">
        <f>IF(AF8="","",AF8*rate_savings)</f>
        <v>3150</v>
      </c>
      <c r="AG13" s="10">
        <v>3150</v>
      </c>
      <c r="AH13" s="10">
        <f>IFERROR(IF(AG13="","",AG13-AF13),"")</f>
        <v>0</v>
      </c>
      <c r="AJ13" s="10">
        <f>IF(AJ8="","",AJ8*rate_savings)</f>
        <v>3150</v>
      </c>
      <c r="AK13" s="10">
        <v>3150</v>
      </c>
      <c r="AL13" s="10">
        <f>IFERROR(IF(AK13="","",AK13-AJ13),"")</f>
        <v>0</v>
      </c>
      <c r="AN13" s="10">
        <f>IF(AN8="","",AN8*rate_savings)</f>
        <v>3150</v>
      </c>
      <c r="AO13" s="10">
        <v>3500</v>
      </c>
      <c r="AP13" s="10">
        <f>IFERROR(IF(AO13="","",AO13-AN13),"")</f>
        <v>350</v>
      </c>
      <c r="AR13" s="10">
        <f>IF(AR8="","",AR8*rate_savings)</f>
        <v>3150</v>
      </c>
      <c r="AS13" s="10">
        <v>4000</v>
      </c>
      <c r="AT13" s="10">
        <f>IFERROR(IF(AS13="","",AS13-AR13),"")</f>
        <v>850</v>
      </c>
      <c r="AV13" s="10">
        <f>IF(AV8="","",AV8*rate_savings)</f>
        <v>3150</v>
      </c>
      <c r="AW13" s="10">
        <v>3150</v>
      </c>
      <c r="AX13" s="10">
        <f>IFERROR(IF(AW13="","",AW13-AV13),"")</f>
        <v>0</v>
      </c>
      <c r="AZ13" s="15"/>
      <c r="BA13" s="10">
        <f>IF(D13="","",SUM(D13,H13,L13,P13,T13,X13,AB13,AF13,AJ13,AN13,AR13,AV13))</f>
        <v>35700</v>
      </c>
      <c r="BB13" s="10">
        <f>IF(E13="","",SUM(E13,I13,M13,Q13,U13,Y13,AC13,AG13,AK13,AO13,AS13,AW13))</f>
        <v>38075</v>
      </c>
      <c r="BC13" s="10">
        <f>IFERROR(IF(BB13="","",BB13-BA13),"")</f>
        <v>2375</v>
      </c>
    </row>
    <row r="14" spans="2:56" x14ac:dyDescent="0.25">
      <c r="B14" t="s">
        <v>2</v>
      </c>
      <c r="D14" s="10">
        <f>IF(D8="","",D8*rate_fun)</f>
        <v>1125</v>
      </c>
      <c r="E14" s="13">
        <f>SUM(E12:E13)</f>
        <v>6450</v>
      </c>
      <c r="F14" s="11"/>
      <c r="H14" s="10">
        <f>IF(H8="","",H8*rate_fun)</f>
        <v>1125</v>
      </c>
      <c r="I14" s="13">
        <f>SUM(I12:I13)</f>
        <v>6625</v>
      </c>
      <c r="J14" s="11"/>
      <c r="L14" s="10">
        <f>IF(L8="","",L8*rate_fun)</f>
        <v>1125</v>
      </c>
      <c r="M14" s="13">
        <f>SUM(M12:M13)</f>
        <v>6800</v>
      </c>
      <c r="N14" s="11"/>
      <c r="P14" s="10">
        <f>IF(P8="","",P8*rate_fun)</f>
        <v>1125</v>
      </c>
      <c r="Q14" s="13">
        <f>SUM(Q12:Q13)</f>
        <v>6900</v>
      </c>
      <c r="R14" s="11"/>
      <c r="T14" s="10">
        <f>IF(T8="","",T8*rate_fun)</f>
        <v>1350</v>
      </c>
      <c r="U14" s="13">
        <f>SUM(U12:U13)</f>
        <v>8250</v>
      </c>
      <c r="V14" s="11"/>
      <c r="X14" s="10">
        <f>IF(X8="","",X8*rate_fun)</f>
        <v>1350</v>
      </c>
      <c r="Y14" s="13">
        <f>SUM(Y12:Y13)</f>
        <v>8250</v>
      </c>
      <c r="Z14" s="11"/>
      <c r="AB14" s="10">
        <f>IF(AB8="","",AB8*rate_fun)</f>
        <v>1350</v>
      </c>
      <c r="AC14" s="13">
        <f>SUM(AC12:AC13)</f>
        <v>6100</v>
      </c>
      <c r="AD14" s="11"/>
      <c r="AF14" s="10">
        <f>IF(AF8="","",AF8*rate_fun)</f>
        <v>1350</v>
      </c>
      <c r="AG14" s="13">
        <f>SUM(AG12:AG13)</f>
        <v>6050</v>
      </c>
      <c r="AH14" s="11"/>
      <c r="AJ14" s="10">
        <f>IF(AJ8="","",AJ8*rate_fun)</f>
        <v>1350</v>
      </c>
      <c r="AK14" s="13">
        <f>SUM(AK12:AK13)</f>
        <v>6050</v>
      </c>
      <c r="AL14" s="11"/>
      <c r="AN14" s="10">
        <f>IF(AN8="","",AN8*rate_fun)</f>
        <v>1350</v>
      </c>
      <c r="AO14" s="13">
        <f>SUM(AO12:AO13)</f>
        <v>6700</v>
      </c>
      <c r="AP14" s="11"/>
      <c r="AR14" s="10">
        <f>IF(AR8="","",AR8*rate_fun)</f>
        <v>1350</v>
      </c>
      <c r="AS14" s="13">
        <f>SUM(AS12:AS13)</f>
        <v>7000</v>
      </c>
      <c r="AT14" s="11"/>
      <c r="AV14" s="10">
        <f>IF(AV8="","",AV8*rate_fun)</f>
        <v>1350</v>
      </c>
      <c r="AW14" s="13">
        <f>SUM(AW12:AW13)</f>
        <v>6250</v>
      </c>
      <c r="AX14" s="11"/>
      <c r="AZ14" s="15"/>
      <c r="BA14" s="10">
        <f>IF(D14="","",SUM(D14,H14,L14,P14,T14,X14,AB14,AF14,AJ14,AN14,AR14,AV14))</f>
        <v>15300</v>
      </c>
    </row>
    <row r="15" spans="2:56" x14ac:dyDescent="0.25">
      <c r="H15" s="6"/>
      <c r="I15" s="6"/>
      <c r="J15" s="6"/>
      <c r="L15" s="6"/>
      <c r="M15" s="6"/>
      <c r="N15" s="6"/>
      <c r="P15" s="6"/>
      <c r="Q15" s="6"/>
      <c r="R15" s="6"/>
      <c r="T15" s="6"/>
      <c r="U15" s="6"/>
      <c r="V15" s="6"/>
      <c r="X15" s="6"/>
      <c r="Y15" s="6"/>
      <c r="Z15" s="6"/>
      <c r="AB15" s="6"/>
      <c r="AC15" s="6"/>
      <c r="AD15" s="6"/>
      <c r="AF15" s="6"/>
      <c r="AG15" s="6"/>
      <c r="AH15" s="6"/>
      <c r="AJ15" s="6"/>
      <c r="AK15" s="6"/>
      <c r="AL15" s="6"/>
      <c r="AN15" s="6"/>
      <c r="AO15" s="6"/>
      <c r="AP15" s="6"/>
      <c r="AR15" s="6"/>
      <c r="AS15" s="6"/>
      <c r="AT15" s="6"/>
      <c r="AV15" s="6"/>
      <c r="AW15" s="6"/>
      <c r="AX15" s="6"/>
      <c r="AZ15" s="15"/>
    </row>
    <row r="16" spans="2:56" ht="23.25" x14ac:dyDescent="0.35">
      <c r="B16" s="3" t="s">
        <v>89</v>
      </c>
      <c r="H16" s="6"/>
      <c r="I16" s="6"/>
      <c r="J16" s="6"/>
      <c r="L16" s="6"/>
      <c r="M16" s="6"/>
      <c r="N16" s="6"/>
      <c r="P16" s="6"/>
      <c r="Q16" s="6"/>
      <c r="R16" s="6"/>
      <c r="T16" s="6"/>
      <c r="U16" s="6"/>
      <c r="V16" s="6"/>
      <c r="X16" s="6"/>
      <c r="Y16" s="6"/>
      <c r="Z16" s="6"/>
      <c r="AB16" s="6"/>
      <c r="AC16" s="6"/>
      <c r="AD16" s="6"/>
      <c r="AF16" s="6"/>
      <c r="AG16" s="6"/>
      <c r="AH16" s="6"/>
      <c r="AJ16" s="6"/>
      <c r="AK16" s="6"/>
      <c r="AL16" s="6"/>
      <c r="AN16" s="6"/>
      <c r="AO16" s="6"/>
      <c r="AP16" s="6"/>
      <c r="AR16" s="6"/>
      <c r="AS16" s="6"/>
      <c r="AT16" s="6"/>
      <c r="AV16" s="6"/>
      <c r="AW16" s="6"/>
      <c r="AX16" s="6"/>
      <c r="AZ16" s="15"/>
    </row>
    <row r="17" spans="2:55" x14ac:dyDescent="0.25">
      <c r="B17" s="1"/>
      <c r="H17" s="6"/>
      <c r="I17" s="6"/>
      <c r="J17" s="6"/>
      <c r="L17" s="6"/>
      <c r="M17" s="6"/>
      <c r="N17" s="6"/>
      <c r="P17" s="6"/>
      <c r="Q17" s="6"/>
      <c r="R17" s="6"/>
      <c r="T17" s="6"/>
      <c r="U17" s="6"/>
      <c r="V17" s="6"/>
      <c r="X17" s="6"/>
      <c r="Y17" s="6"/>
      <c r="Z17" s="6"/>
      <c r="AB17" s="6"/>
      <c r="AC17" s="6"/>
      <c r="AD17" s="6"/>
      <c r="AF17" s="6"/>
      <c r="AG17" s="6"/>
      <c r="AH17" s="6"/>
      <c r="AJ17" s="6"/>
      <c r="AK17" s="6"/>
      <c r="AL17" s="6"/>
      <c r="AN17" s="6"/>
      <c r="AO17" s="6"/>
      <c r="AP17" s="6"/>
      <c r="AR17" s="6"/>
      <c r="AS17" s="6"/>
      <c r="AT17" s="6"/>
      <c r="AV17" s="6"/>
      <c r="AW17" s="6"/>
      <c r="AX17" s="6"/>
      <c r="AZ17" s="15"/>
    </row>
    <row r="18" spans="2:55" x14ac:dyDescent="0.25">
      <c r="B18" s="4" t="s">
        <v>32</v>
      </c>
      <c r="D18" s="7">
        <v>8000</v>
      </c>
      <c r="E18" s="14" t="str">
        <f>IF(D18="","",IF(E24&gt;D18,"REAL &gt; Wypłata!",""))</f>
        <v/>
      </c>
      <c r="H18" s="7">
        <v>8000</v>
      </c>
      <c r="I18" s="14" t="str">
        <f>IF(H18="","",IF(I24&gt;H18,"REAL &gt; Wypłata!",""))</f>
        <v/>
      </c>
      <c r="J18" s="6"/>
      <c r="L18" s="7">
        <v>8000</v>
      </c>
      <c r="M18" s="14" t="str">
        <f>IF(L18="","",IF(M24&gt;L18,"REAL &gt; Wypłata!",""))</f>
        <v/>
      </c>
      <c r="N18" s="6"/>
      <c r="P18" s="7">
        <v>8000</v>
      </c>
      <c r="Q18" s="14" t="str">
        <f>IF(P18="","",IF(Q24&gt;P18,"REAL &gt; Wypłata!",""))</f>
        <v/>
      </c>
      <c r="R18" s="6"/>
      <c r="T18" s="7">
        <v>8000</v>
      </c>
      <c r="U18" s="14" t="str">
        <f>IF(T18="","",IF(U24&gt;T18,"REAL &gt; Wypłata!",""))</f>
        <v/>
      </c>
      <c r="V18" s="6"/>
      <c r="X18" s="7">
        <v>8000</v>
      </c>
      <c r="Y18" s="14" t="str">
        <f>IF(X18="","",IF(Y24&gt;X18,"REAL &gt; Wypłata!",""))</f>
        <v/>
      </c>
      <c r="Z18" s="6"/>
      <c r="AB18" s="7">
        <v>8000</v>
      </c>
      <c r="AC18" s="14" t="str">
        <f>IF(AB18="","",IF(AC24&gt;AB18,"REAL &gt; Wypłata!",""))</f>
        <v/>
      </c>
      <c r="AD18" s="6"/>
      <c r="AF18" s="7">
        <v>8000</v>
      </c>
      <c r="AG18" s="14" t="str">
        <f>IF(AF18="","",IF(AG24&gt;AF18,"REAL &gt; Wypłata!",""))</f>
        <v/>
      </c>
      <c r="AH18" s="6"/>
      <c r="AJ18" s="7">
        <v>8000</v>
      </c>
      <c r="AK18" s="14" t="str">
        <f>IF(AJ18="","",IF(AK24&gt;AJ18,"REAL &gt; Wypłata!",""))</f>
        <v/>
      </c>
      <c r="AL18" s="6"/>
      <c r="AN18" s="7">
        <v>8000</v>
      </c>
      <c r="AO18" s="14" t="str">
        <f>IF(AN18="","",IF(AO24&gt;AN18,"REAL &gt; Wypłata!",""))</f>
        <v/>
      </c>
      <c r="AP18" s="6"/>
      <c r="AR18" s="7">
        <v>8000</v>
      </c>
      <c r="AS18" s="14" t="str">
        <f>IF(AR18="","",IF(AS24&gt;AR18,"REAL &gt; Wypłata!",""))</f>
        <v/>
      </c>
      <c r="AT18" s="6"/>
      <c r="AV18" s="7">
        <v>8000</v>
      </c>
      <c r="AW18" s="14" t="str">
        <f>IF(AV18="","",IF(AW24&gt;AV18,"REAL &gt; Wypłata!",""))</f>
        <v/>
      </c>
      <c r="AX18" s="6"/>
      <c r="AZ18" s="15"/>
      <c r="BA18" s="6">
        <f>IF(D18="","",SUM(D18:AX18))</f>
        <v>96000</v>
      </c>
    </row>
    <row r="19" spans="2:55" x14ac:dyDescent="0.25">
      <c r="B19" s="4" t="s">
        <v>37</v>
      </c>
      <c r="D19" s="7">
        <v>1500</v>
      </c>
      <c r="H19" s="7">
        <v>1500</v>
      </c>
      <c r="I19" s="6"/>
      <c r="J19" s="6"/>
      <c r="L19" s="7">
        <v>1500</v>
      </c>
      <c r="M19" s="6"/>
      <c r="N19" s="6"/>
      <c r="P19" s="7">
        <v>1400</v>
      </c>
      <c r="Q19" s="6"/>
      <c r="R19" s="6"/>
      <c r="T19" s="7">
        <v>1950</v>
      </c>
      <c r="U19" s="6"/>
      <c r="V19" s="6"/>
      <c r="X19" s="7">
        <v>1950</v>
      </c>
      <c r="Y19" s="6"/>
      <c r="Z19" s="6"/>
      <c r="AB19" s="7">
        <v>1400</v>
      </c>
      <c r="AC19" s="6"/>
      <c r="AD19" s="6"/>
      <c r="AF19" s="7">
        <v>1400</v>
      </c>
      <c r="AG19" s="6"/>
      <c r="AH19" s="6"/>
      <c r="AJ19" s="7">
        <v>1200</v>
      </c>
      <c r="AK19" s="6"/>
      <c r="AL19" s="6"/>
      <c r="AN19" s="7">
        <v>1200</v>
      </c>
      <c r="AO19" s="6"/>
      <c r="AP19" s="6"/>
      <c r="AR19" s="7">
        <v>1200</v>
      </c>
      <c r="AS19" s="6"/>
      <c r="AT19" s="6"/>
      <c r="AV19" s="7">
        <v>1200</v>
      </c>
      <c r="AW19" s="6"/>
      <c r="AX19" s="6"/>
      <c r="AZ19" s="15"/>
      <c r="BA19" s="6">
        <f>IF(D19="","",SUM(D19:AX19))</f>
        <v>17400</v>
      </c>
    </row>
    <row r="20" spans="2:55" x14ac:dyDescent="0.25">
      <c r="B20" s="12" t="s">
        <v>39</v>
      </c>
      <c r="H20" s="6"/>
      <c r="I20" s="6"/>
      <c r="J20" s="6"/>
      <c r="L20" s="6"/>
      <c r="M20" s="6"/>
      <c r="N20" s="6"/>
      <c r="P20" s="6"/>
      <c r="Q20" s="6"/>
      <c r="R20" s="6"/>
      <c r="T20" s="6"/>
      <c r="U20" s="6"/>
      <c r="V20" s="6"/>
      <c r="X20" s="6"/>
      <c r="Y20" s="6"/>
      <c r="Z20" s="6"/>
      <c r="AB20" s="6"/>
      <c r="AC20" s="6"/>
      <c r="AD20" s="6"/>
      <c r="AF20" s="6"/>
      <c r="AG20" s="6"/>
      <c r="AH20" s="6"/>
      <c r="AJ20" s="6"/>
      <c r="AK20" s="6"/>
      <c r="AL20" s="6"/>
      <c r="AN20" s="6"/>
      <c r="AO20" s="6"/>
      <c r="AP20" s="6"/>
      <c r="AR20" s="6"/>
      <c r="AS20" s="6"/>
      <c r="AT20" s="6"/>
      <c r="AV20" s="6"/>
      <c r="AW20" s="6"/>
      <c r="AX20" s="6"/>
      <c r="AZ20" s="15"/>
    </row>
    <row r="21" spans="2:55" x14ac:dyDescent="0.25">
      <c r="D21" s="8" t="s">
        <v>33</v>
      </c>
      <c r="E21" s="8" t="s">
        <v>34</v>
      </c>
      <c r="F21" s="9" t="s">
        <v>35</v>
      </c>
      <c r="H21" s="8" t="s">
        <v>33</v>
      </c>
      <c r="I21" s="8" t="s">
        <v>34</v>
      </c>
      <c r="J21" s="9" t="s">
        <v>35</v>
      </c>
      <c r="L21" s="8" t="s">
        <v>33</v>
      </c>
      <c r="M21" s="8" t="s">
        <v>34</v>
      </c>
      <c r="N21" s="9" t="s">
        <v>35</v>
      </c>
      <c r="P21" s="8" t="s">
        <v>33</v>
      </c>
      <c r="Q21" s="8" t="s">
        <v>34</v>
      </c>
      <c r="R21" s="9" t="s">
        <v>35</v>
      </c>
      <c r="T21" s="8" t="s">
        <v>33</v>
      </c>
      <c r="U21" s="8" t="s">
        <v>34</v>
      </c>
      <c r="V21" s="9" t="s">
        <v>35</v>
      </c>
      <c r="X21" s="8" t="s">
        <v>33</v>
      </c>
      <c r="Y21" s="8" t="s">
        <v>34</v>
      </c>
      <c r="Z21" s="9" t="s">
        <v>35</v>
      </c>
      <c r="AB21" s="8" t="s">
        <v>33</v>
      </c>
      <c r="AC21" s="8" t="s">
        <v>34</v>
      </c>
      <c r="AD21" s="9" t="s">
        <v>35</v>
      </c>
      <c r="AF21" s="8" t="s">
        <v>33</v>
      </c>
      <c r="AG21" s="8" t="s">
        <v>34</v>
      </c>
      <c r="AH21" s="9" t="s">
        <v>35</v>
      </c>
      <c r="AJ21" s="8" t="s">
        <v>33</v>
      </c>
      <c r="AK21" s="8" t="s">
        <v>34</v>
      </c>
      <c r="AL21" s="9" t="s">
        <v>35</v>
      </c>
      <c r="AN21" s="8" t="s">
        <v>33</v>
      </c>
      <c r="AO21" s="8" t="s">
        <v>34</v>
      </c>
      <c r="AP21" s="9" t="s">
        <v>35</v>
      </c>
      <c r="AR21" s="8" t="s">
        <v>33</v>
      </c>
      <c r="AS21" s="8" t="s">
        <v>34</v>
      </c>
      <c r="AT21" s="9" t="s">
        <v>35</v>
      </c>
      <c r="AV21" s="8" t="s">
        <v>33</v>
      </c>
      <c r="AW21" s="8" t="s">
        <v>34</v>
      </c>
      <c r="AX21" s="9" t="s">
        <v>35</v>
      </c>
      <c r="AZ21" s="15"/>
      <c r="BA21" s="8" t="s">
        <v>33</v>
      </c>
      <c r="BB21" s="8" t="s">
        <v>34</v>
      </c>
      <c r="BC21" s="9" t="s">
        <v>35</v>
      </c>
    </row>
    <row r="22" spans="2:55" x14ac:dyDescent="0.25">
      <c r="B22" t="s">
        <v>0</v>
      </c>
      <c r="D22" s="10">
        <f>IF(D18="","",D18*rate_home-D19)</f>
        <v>2500</v>
      </c>
      <c r="E22" s="10">
        <v>2500</v>
      </c>
      <c r="F22" s="10">
        <f>IFERROR(IF(E22="","",E22-D22),"")</f>
        <v>0</v>
      </c>
      <c r="H22" s="10">
        <f>IF(H18="","",H18*rate_home-H19)</f>
        <v>2500</v>
      </c>
      <c r="I22" s="10">
        <v>2500</v>
      </c>
      <c r="J22" s="10">
        <f>IFERROR(IF(I22="","",I22-H22),"")</f>
        <v>0</v>
      </c>
      <c r="L22" s="10">
        <f>IF(L18="","",L18*rate_home-L19)</f>
        <v>2500</v>
      </c>
      <c r="M22" s="10">
        <v>2200</v>
      </c>
      <c r="N22" s="10">
        <f>IFERROR(IF(M22="","",M22-L22),"")</f>
        <v>-300</v>
      </c>
      <c r="P22" s="10">
        <f>IF(P18="","",P18*rate_home-P19)</f>
        <v>2600</v>
      </c>
      <c r="Q22" s="10">
        <v>2300</v>
      </c>
      <c r="R22" s="10">
        <f>IFERROR(IF(Q22="","",Q22-P22),"")</f>
        <v>-300</v>
      </c>
      <c r="T22" s="10">
        <f>IF(T18="","",T18*rate_home-T19)</f>
        <v>2050</v>
      </c>
      <c r="U22" s="10">
        <v>3000</v>
      </c>
      <c r="V22" s="10">
        <f>IFERROR(IF(U22="","",U22-T22),"")</f>
        <v>950</v>
      </c>
      <c r="X22" s="10">
        <f>IF(X18="","",X18*rate_home-X19)</f>
        <v>2050</v>
      </c>
      <c r="Y22" s="10">
        <v>2100</v>
      </c>
      <c r="Z22" s="10">
        <f>IFERROR(IF(Y22="","",Y22-X22),"")</f>
        <v>50</v>
      </c>
      <c r="AB22" s="10">
        <f>IF(AB18="","",AB18*rate_home-AB19)</f>
        <v>2600</v>
      </c>
      <c r="AC22" s="10">
        <v>2600</v>
      </c>
      <c r="AD22" s="10">
        <f>IFERROR(IF(AC22="","",AC22-AB22),"")</f>
        <v>0</v>
      </c>
      <c r="AF22" s="10">
        <f>IF(AF18="","",AF18*rate_home-AF19)</f>
        <v>2600</v>
      </c>
      <c r="AG22" s="10">
        <v>2500</v>
      </c>
      <c r="AH22" s="10">
        <f>IFERROR(IF(AG22="","",AG22-AF22),"")</f>
        <v>-100</v>
      </c>
      <c r="AJ22" s="10">
        <f>IF(AJ18="","",AJ18*rate_home-AJ19)</f>
        <v>2800</v>
      </c>
      <c r="AK22" s="10">
        <v>3000</v>
      </c>
      <c r="AL22" s="10">
        <f>IFERROR(IF(AK22="","",AK22-AJ22),"")</f>
        <v>200</v>
      </c>
      <c r="AN22" s="10">
        <f>IF(AN18="","",AN18*rate_home-AN19)</f>
        <v>2800</v>
      </c>
      <c r="AO22" s="10">
        <v>3000</v>
      </c>
      <c r="AP22" s="10">
        <f>IFERROR(IF(AO22="","",AO22-AN22),"")</f>
        <v>200</v>
      </c>
      <c r="AR22" s="10">
        <f>IF(AR18="","",AR18*rate_home-AR19)</f>
        <v>2800</v>
      </c>
      <c r="AS22" s="10">
        <v>3000</v>
      </c>
      <c r="AT22" s="10">
        <f>IFERROR(IF(AS22="","",AS22-AR22),"")</f>
        <v>200</v>
      </c>
      <c r="AV22" s="10">
        <f>IF(AV18="","",AV18*rate_home-AV19)</f>
        <v>2800</v>
      </c>
      <c r="AW22" s="10">
        <v>2800</v>
      </c>
      <c r="AX22" s="10">
        <f>IFERROR(IF(AW22="","",AW22-AV22),"")</f>
        <v>0</v>
      </c>
      <c r="AZ22" s="15"/>
      <c r="BA22" s="10">
        <f>IF(D22="","",SUM(D22,H22,L22,P22,T22,X22,AB22,AF22,AJ22,AN22,AR22,AV22))</f>
        <v>30600</v>
      </c>
      <c r="BB22" s="10">
        <f>IF(E22="","",SUM(E22,I22,M22,Q22,U22,Y22,AC22,AG22,AK22,AO22,AS22,AW22))</f>
        <v>31500</v>
      </c>
      <c r="BC22" s="10">
        <f>IFERROR(IF(BB22="","",BB22-BA22),"")</f>
        <v>900</v>
      </c>
    </row>
    <row r="23" spans="2:55" x14ac:dyDescent="0.25">
      <c r="B23" t="s">
        <v>1</v>
      </c>
      <c r="D23" s="10">
        <f>IF(D18="","",D18*rate_savings)</f>
        <v>2800</v>
      </c>
      <c r="E23" s="10">
        <v>2500</v>
      </c>
      <c r="F23" s="10">
        <f>IFERROR(IF(E23="","",E23-D23),"")</f>
        <v>-300</v>
      </c>
      <c r="H23" s="10">
        <f>IF(H18="","",H18*rate_savings)</f>
        <v>2800</v>
      </c>
      <c r="I23" s="10">
        <v>2500</v>
      </c>
      <c r="J23" s="10">
        <f>IFERROR(IF(I23="","",I23-H23),"")</f>
        <v>-300</v>
      </c>
      <c r="L23" s="10">
        <f>IF(L18="","",L18*rate_savings)</f>
        <v>2800</v>
      </c>
      <c r="M23" s="10">
        <v>2800</v>
      </c>
      <c r="N23" s="10">
        <f>IFERROR(IF(M23="","",M23-L23),"")</f>
        <v>0</v>
      </c>
      <c r="P23" s="10">
        <f>IF(P18="","",P18*rate_savings)</f>
        <v>2800</v>
      </c>
      <c r="Q23" s="10">
        <v>2800</v>
      </c>
      <c r="R23" s="10">
        <f>IFERROR(IF(Q23="","",Q23-P23),"")</f>
        <v>0</v>
      </c>
      <c r="T23" s="10">
        <f>IF(T18="","",T18*rate_savings)</f>
        <v>2800</v>
      </c>
      <c r="U23" s="10">
        <v>2800</v>
      </c>
      <c r="V23" s="10">
        <f>IFERROR(IF(U23="","",U23-T23),"")</f>
        <v>0</v>
      </c>
      <c r="X23" s="10">
        <f>IF(X18="","",X18*rate_savings)</f>
        <v>2800</v>
      </c>
      <c r="Y23" s="10">
        <v>3000</v>
      </c>
      <c r="Z23" s="10">
        <f>IFERROR(IF(Y23="","",Y23-X23),"")</f>
        <v>200</v>
      </c>
      <c r="AB23" s="10">
        <f>IF(AB18="","",AB18*rate_savings)</f>
        <v>2800</v>
      </c>
      <c r="AC23" s="10">
        <v>2800</v>
      </c>
      <c r="AD23" s="10">
        <f>IFERROR(IF(AC23="","",AC23-AB23),"")</f>
        <v>0</v>
      </c>
      <c r="AF23" s="10">
        <f>IF(AF18="","",AF18*rate_savings)</f>
        <v>2800</v>
      </c>
      <c r="AG23" s="10">
        <v>2700</v>
      </c>
      <c r="AH23" s="10">
        <f>IFERROR(IF(AG23="","",AG23-AF23),"")</f>
        <v>-100</v>
      </c>
      <c r="AJ23" s="10">
        <f>IF(AJ18="","",AJ18*rate_savings)</f>
        <v>2800</v>
      </c>
      <c r="AK23" s="10">
        <v>3100</v>
      </c>
      <c r="AL23" s="10">
        <f>IFERROR(IF(AK23="","",AK23-AJ23),"")</f>
        <v>300</v>
      </c>
      <c r="AN23" s="10">
        <f>IF(AN18="","",AN18*rate_savings)</f>
        <v>2800</v>
      </c>
      <c r="AO23" s="10">
        <v>3000</v>
      </c>
      <c r="AP23" s="10">
        <f>IFERROR(IF(AO23="","",AO23-AN23),"")</f>
        <v>200</v>
      </c>
      <c r="AR23" s="10">
        <f>IF(AR18="","",AR18*rate_savings)</f>
        <v>2800</v>
      </c>
      <c r="AS23" s="10">
        <v>3500</v>
      </c>
      <c r="AT23" s="10">
        <f>IFERROR(IF(AS23="","",AS23-AR23),"")</f>
        <v>700</v>
      </c>
      <c r="AV23" s="10">
        <f>IF(AV18="","",AV18*rate_savings)</f>
        <v>2800</v>
      </c>
      <c r="AW23" s="10">
        <v>2800</v>
      </c>
      <c r="AX23" s="10">
        <f>IFERROR(IF(AW23="","",AW23-AV23),"")</f>
        <v>0</v>
      </c>
      <c r="AZ23" s="15"/>
      <c r="BA23" s="10">
        <f>IF(D23="","",SUM(D23,H23,L23,P23,T23,X23,AB23,AF23,AJ23,AN23,AR23,AV23))</f>
        <v>33600</v>
      </c>
      <c r="BB23" s="10">
        <f>IF(E23="","",SUM(E23,I23,M23,Q23,U23,Y23,AC23,AG23,AK23,AO23,AS23,AW23))</f>
        <v>34300</v>
      </c>
      <c r="BC23" s="10">
        <f>IFERROR(IF(BB23="","",BB23-BA23),"")</f>
        <v>700</v>
      </c>
    </row>
    <row r="24" spans="2:55" x14ac:dyDescent="0.25">
      <c r="B24" t="s">
        <v>2</v>
      </c>
      <c r="D24" s="10">
        <f>IF(D18="","",D18*rate_fun)</f>
        <v>1200</v>
      </c>
      <c r="E24" s="13">
        <f>SUM(E22:E23)</f>
        <v>5000</v>
      </c>
      <c r="F24" s="11"/>
      <c r="H24" s="10">
        <f>IF(H18="","",H18*rate_fun)</f>
        <v>1200</v>
      </c>
      <c r="I24" s="13">
        <f>SUM(I22:I23)</f>
        <v>5000</v>
      </c>
      <c r="J24" s="11"/>
      <c r="L24" s="10">
        <f>IF(L18="","",L18*rate_fun)</f>
        <v>1200</v>
      </c>
      <c r="M24" s="13">
        <f>SUM(M22:M23)</f>
        <v>5000</v>
      </c>
      <c r="N24" s="11"/>
      <c r="P24" s="10">
        <f>IF(P18="","",P18*rate_fun)</f>
        <v>1200</v>
      </c>
      <c r="Q24" s="13">
        <f>SUM(Q22:Q23)</f>
        <v>5100</v>
      </c>
      <c r="R24" s="11"/>
      <c r="T24" s="10">
        <f>IF(T18="","",T18*rate_fun)</f>
        <v>1200</v>
      </c>
      <c r="U24" s="13">
        <f>SUM(U22:U23)</f>
        <v>5800</v>
      </c>
      <c r="V24" s="11"/>
      <c r="X24" s="10">
        <f>IF(X18="","",X18*rate_fun)</f>
        <v>1200</v>
      </c>
      <c r="Y24" s="13">
        <f>SUM(Y22:Y23)</f>
        <v>5100</v>
      </c>
      <c r="Z24" s="11"/>
      <c r="AB24" s="10">
        <f>IF(AB18="","",AB18*rate_fun)</f>
        <v>1200</v>
      </c>
      <c r="AC24" s="13">
        <f>SUM(AC22:AC23)</f>
        <v>5400</v>
      </c>
      <c r="AD24" s="11"/>
      <c r="AF24" s="10">
        <f>IF(AF18="","",AF18*rate_fun)</f>
        <v>1200</v>
      </c>
      <c r="AG24" s="13">
        <f>SUM(AG22:AG23)</f>
        <v>5200</v>
      </c>
      <c r="AH24" s="11"/>
      <c r="AJ24" s="10">
        <f>IF(AJ18="","",AJ18*rate_fun)</f>
        <v>1200</v>
      </c>
      <c r="AK24" s="13">
        <f>SUM(AK22:AK23)</f>
        <v>6100</v>
      </c>
      <c r="AL24" s="11"/>
      <c r="AN24" s="10">
        <f>IF(AN18="","",AN18*rate_fun)</f>
        <v>1200</v>
      </c>
      <c r="AO24" s="13">
        <f>SUM(AO22:AO23)</f>
        <v>6000</v>
      </c>
      <c r="AP24" s="11"/>
      <c r="AR24" s="10">
        <f>IF(AR18="","",AR18*rate_fun)</f>
        <v>1200</v>
      </c>
      <c r="AS24" s="13">
        <f>SUM(AS22:AS23)</f>
        <v>6500</v>
      </c>
      <c r="AT24" s="11"/>
      <c r="AV24" s="10">
        <f>IF(AV18="","",AV18*rate_fun)</f>
        <v>1200</v>
      </c>
      <c r="AW24" s="13">
        <f>SUM(AW22:AW23)</f>
        <v>5600</v>
      </c>
      <c r="AX24" s="11"/>
      <c r="AZ24" s="15"/>
      <c r="BA24" s="10">
        <f>IF(D24="","",SUM(D24,H24,L24,P24,T24,X24,AB24,AF24,AJ24,AN24,AR24,AV24))</f>
        <v>14400</v>
      </c>
    </row>
    <row r="25" spans="2:55" x14ac:dyDescent="0.25">
      <c r="H25" s="6"/>
      <c r="I25" s="6"/>
      <c r="J25" s="6"/>
      <c r="L25" s="6"/>
      <c r="M25" s="6"/>
      <c r="N25" s="6"/>
      <c r="P25" s="6"/>
      <c r="Q25" s="6"/>
      <c r="R25" s="6"/>
      <c r="T25" s="6"/>
      <c r="U25" s="6"/>
      <c r="V25" s="6"/>
      <c r="X25" s="6"/>
      <c r="Y25" s="6"/>
      <c r="Z25" s="6"/>
      <c r="AB25" s="6"/>
      <c r="AC25" s="6"/>
      <c r="AD25" s="6"/>
      <c r="AF25" s="6"/>
      <c r="AG25" s="6"/>
      <c r="AH25" s="6"/>
      <c r="AJ25" s="6"/>
      <c r="AK25" s="6"/>
      <c r="AL25" s="6"/>
      <c r="AN25" s="6"/>
      <c r="AO25" s="6"/>
      <c r="AP25" s="6"/>
      <c r="AR25" s="6"/>
      <c r="AS25" s="6"/>
      <c r="AT25" s="6"/>
      <c r="AV25" s="6"/>
      <c r="AW25" s="6"/>
      <c r="AX25" s="6"/>
      <c r="AZ25" s="15"/>
    </row>
    <row r="26" spans="2:55" ht="23.25" x14ac:dyDescent="0.35">
      <c r="B26" s="3" t="s">
        <v>38</v>
      </c>
      <c r="H26" s="6"/>
      <c r="I26" s="6"/>
      <c r="J26" s="6"/>
      <c r="L26" s="6"/>
      <c r="M26" s="6"/>
      <c r="N26" s="6"/>
      <c r="P26" s="6"/>
      <c r="Q26" s="6"/>
      <c r="R26" s="6"/>
      <c r="T26" s="6"/>
      <c r="U26" s="6"/>
      <c r="V26" s="6"/>
      <c r="X26" s="6"/>
      <c r="Y26" s="6"/>
      <c r="Z26" s="6"/>
      <c r="AB26" s="6"/>
      <c r="AC26" s="6"/>
      <c r="AD26" s="6"/>
      <c r="AF26" s="6"/>
      <c r="AG26" s="6"/>
      <c r="AH26" s="6"/>
      <c r="AJ26" s="6"/>
      <c r="AK26" s="6"/>
      <c r="AL26" s="6"/>
      <c r="AN26" s="6"/>
      <c r="AO26" s="6"/>
      <c r="AP26" s="6"/>
      <c r="AR26" s="6"/>
      <c r="AS26" s="6"/>
      <c r="AT26" s="6"/>
      <c r="AV26" s="6"/>
      <c r="AW26" s="6"/>
      <c r="AX26" s="6"/>
      <c r="AZ26" s="15"/>
    </row>
    <row r="27" spans="2:55" x14ac:dyDescent="0.25">
      <c r="H27" s="6"/>
      <c r="I27" s="6"/>
      <c r="J27" s="6"/>
      <c r="L27" s="6"/>
      <c r="M27" s="6"/>
      <c r="N27" s="6"/>
      <c r="P27" s="6"/>
      <c r="Q27" s="6"/>
      <c r="R27" s="6"/>
      <c r="T27" s="6"/>
      <c r="U27" s="6"/>
      <c r="V27" s="6"/>
      <c r="X27" s="6"/>
      <c r="Y27" s="6"/>
      <c r="Z27" s="6"/>
      <c r="AB27" s="6"/>
      <c r="AC27" s="6"/>
      <c r="AD27" s="6"/>
      <c r="AF27" s="6"/>
      <c r="AG27" s="6"/>
      <c r="AH27" s="6"/>
      <c r="AJ27" s="6"/>
      <c r="AK27" s="6"/>
      <c r="AL27" s="6"/>
      <c r="AN27" s="6"/>
      <c r="AO27" s="6"/>
      <c r="AP27" s="6"/>
      <c r="AR27" s="6"/>
      <c r="AS27" s="6"/>
      <c r="AT27" s="6"/>
      <c r="AV27" s="6"/>
      <c r="AW27" s="6"/>
      <c r="AX27" s="6"/>
      <c r="AZ27" s="15"/>
    </row>
    <row r="28" spans="2:55" x14ac:dyDescent="0.25">
      <c r="B28" s="4" t="s">
        <v>32</v>
      </c>
      <c r="D28" s="16">
        <f>IF(AND(D8="",D18=""),"",D8+D18)</f>
        <v>15500</v>
      </c>
      <c r="E28" s="16"/>
      <c r="F28" s="16"/>
      <c r="G28" s="1"/>
      <c r="H28" s="16">
        <f>IF(AND(H8="",H18=""),"",H8+H18)</f>
        <v>15500</v>
      </c>
      <c r="I28" s="16"/>
      <c r="J28" s="16"/>
      <c r="K28" s="1"/>
      <c r="L28" s="16">
        <f>IF(AND(L8="",L18=""),"",L8+L18)</f>
        <v>15500</v>
      </c>
      <c r="M28" s="16"/>
      <c r="N28" s="16"/>
      <c r="O28" s="1"/>
      <c r="P28" s="16">
        <f>IF(AND(P8="",P18=""),"",P8+P18)</f>
        <v>15500</v>
      </c>
      <c r="Q28" s="16"/>
      <c r="R28" s="16"/>
      <c r="S28" s="1"/>
      <c r="T28" s="16">
        <f>IF(AND(T8="",T18=""),"",T8+T18)</f>
        <v>17000</v>
      </c>
      <c r="U28" s="16"/>
      <c r="V28" s="16"/>
      <c r="W28" s="1"/>
      <c r="X28" s="16">
        <f>IF(AND(X8="",X18=""),"",X8+X18)</f>
        <v>17000</v>
      </c>
      <c r="Y28" s="16"/>
      <c r="Z28" s="16"/>
      <c r="AA28" s="1"/>
      <c r="AB28" s="16">
        <f>IF(AND(AB8="",AB18=""),"",AB8+AB18)</f>
        <v>17000</v>
      </c>
      <c r="AC28" s="16"/>
      <c r="AD28" s="16"/>
      <c r="AE28" s="1"/>
      <c r="AF28" s="16">
        <f>IF(AND(AF8="",AF18=""),"",AF8+AF18)</f>
        <v>17000</v>
      </c>
      <c r="AG28" s="16"/>
      <c r="AH28" s="16"/>
      <c r="AI28" s="1"/>
      <c r="AJ28" s="16">
        <f>IF(AND(AJ8="",AJ18=""),"",AJ8+AJ18)</f>
        <v>17000</v>
      </c>
      <c r="AK28" s="16"/>
      <c r="AL28" s="16"/>
      <c r="AM28" s="1"/>
      <c r="AN28" s="16">
        <f>IF(AND(AN8="",AN18=""),"",AN8+AN18)</f>
        <v>17000</v>
      </c>
      <c r="AO28" s="16"/>
      <c r="AP28" s="16"/>
      <c r="AQ28" s="1"/>
      <c r="AR28" s="16">
        <f>IF(AND(AR8="",AR18=""),"",AR8+AR18)</f>
        <v>17000</v>
      </c>
      <c r="AS28" s="16"/>
      <c r="AT28" s="16"/>
      <c r="AU28" s="1"/>
      <c r="AV28" s="16">
        <f>IF(AND(AV8="",AV18=""),"",AV8+AV18)</f>
        <v>17000</v>
      </c>
      <c r="AW28" s="16"/>
      <c r="AX28" s="16"/>
      <c r="AZ28" s="15"/>
      <c r="BA28" s="6">
        <f>IF(D28="","",SUM(D28:AX28))</f>
        <v>198000</v>
      </c>
    </row>
    <row r="29" spans="2:55" x14ac:dyDescent="0.25">
      <c r="B29" t="s">
        <v>37</v>
      </c>
      <c r="D29" s="16">
        <f>IF(AND(D9="",D19=""),"",D9+D19)</f>
        <v>3000</v>
      </c>
      <c r="E29" s="16"/>
      <c r="F29" s="16"/>
      <c r="G29" s="1"/>
      <c r="H29" s="16">
        <f>IF(AND(H9="",H19=""),"",H9+H19)</f>
        <v>3000</v>
      </c>
      <c r="I29" s="16"/>
      <c r="J29" s="16"/>
      <c r="K29" s="1"/>
      <c r="L29" s="16">
        <f>IF(AND(L9="",L19=""),"",L9+L19)</f>
        <v>3000</v>
      </c>
      <c r="M29" s="16"/>
      <c r="N29" s="16"/>
      <c r="O29" s="1"/>
      <c r="P29" s="16">
        <f>IF(AND(P9="",P19=""),"",P9+P19)</f>
        <v>3250</v>
      </c>
      <c r="Q29" s="16"/>
      <c r="R29" s="16"/>
      <c r="S29" s="1"/>
      <c r="T29" s="16">
        <f>IF(AND(T9="",T19=""),"",T9+T19)</f>
        <v>3450</v>
      </c>
      <c r="U29" s="16"/>
      <c r="V29" s="16"/>
      <c r="W29" s="1"/>
      <c r="X29" s="16">
        <f>IF(AND(X9="",X19=""),"",X9+X19)</f>
        <v>3450</v>
      </c>
      <c r="Y29" s="16"/>
      <c r="Z29" s="16"/>
      <c r="AA29" s="1"/>
      <c r="AB29" s="16">
        <f>IF(AND(AB9="",AB19=""),"",AB9+AB19)</f>
        <v>2900</v>
      </c>
      <c r="AC29" s="16"/>
      <c r="AD29" s="16"/>
      <c r="AE29" s="1"/>
      <c r="AF29" s="16">
        <f>IF(AND(AF9="",AF19=""),"",AF9+AF19)</f>
        <v>3000</v>
      </c>
      <c r="AG29" s="16"/>
      <c r="AH29" s="16"/>
      <c r="AI29" s="1"/>
      <c r="AJ29" s="16">
        <f>IF(AND(AJ9="",AJ19=""),"",AJ9+AJ19)</f>
        <v>2800</v>
      </c>
      <c r="AK29" s="16"/>
      <c r="AL29" s="16"/>
      <c r="AM29" s="1"/>
      <c r="AN29" s="16">
        <f>IF(AND(AN9="",AN19=""),"",AN9+AN19)</f>
        <v>2800</v>
      </c>
      <c r="AO29" s="16"/>
      <c r="AP29" s="16"/>
      <c r="AQ29" s="1"/>
      <c r="AR29" s="16">
        <f>IF(AND(AR9="",AR19=""),"",AR9+AR19)</f>
        <v>2800</v>
      </c>
      <c r="AS29" s="16"/>
      <c r="AT29" s="16"/>
      <c r="AU29" s="1"/>
      <c r="AV29" s="16">
        <f>IF(AND(AV9="",AV19=""),"",AV9+AV19)</f>
        <v>2600</v>
      </c>
      <c r="AW29" s="16"/>
      <c r="AX29" s="16"/>
      <c r="AZ29" s="15"/>
      <c r="BA29" s="6">
        <f>IF(D29="","",SUM(D29:AX29))</f>
        <v>36050</v>
      </c>
    </row>
    <row r="30" spans="2:55" x14ac:dyDescent="0.25">
      <c r="H30" s="6"/>
      <c r="I30" s="6"/>
      <c r="J30" s="6"/>
      <c r="L30" s="6"/>
      <c r="M30" s="6"/>
      <c r="N30" s="6"/>
      <c r="P30" s="6"/>
      <c r="Q30" s="6"/>
      <c r="R30" s="6"/>
      <c r="T30" s="6"/>
      <c r="U30" s="6"/>
      <c r="V30" s="6"/>
      <c r="X30" s="6"/>
      <c r="Y30" s="6"/>
      <c r="Z30" s="6"/>
      <c r="AB30" s="6"/>
      <c r="AC30" s="6"/>
      <c r="AD30" s="6"/>
      <c r="AF30" s="6"/>
      <c r="AG30" s="6"/>
      <c r="AH30" s="6"/>
      <c r="AJ30" s="6"/>
      <c r="AK30" s="6"/>
      <c r="AL30" s="6"/>
      <c r="AN30" s="6"/>
      <c r="AO30" s="6"/>
      <c r="AP30" s="6"/>
      <c r="AR30" s="6"/>
      <c r="AS30" s="6"/>
      <c r="AT30" s="6"/>
      <c r="AV30" s="6"/>
      <c r="AW30" s="6"/>
      <c r="AX30" s="6"/>
      <c r="AZ30" s="15"/>
    </row>
    <row r="31" spans="2:55" x14ac:dyDescent="0.25">
      <c r="D31" s="8" t="s">
        <v>33</v>
      </c>
      <c r="E31" s="8" t="s">
        <v>34</v>
      </c>
      <c r="F31" s="9" t="s">
        <v>35</v>
      </c>
      <c r="H31" s="8" t="s">
        <v>33</v>
      </c>
      <c r="I31" s="8" t="s">
        <v>34</v>
      </c>
      <c r="J31" s="9" t="s">
        <v>35</v>
      </c>
      <c r="L31" s="8" t="s">
        <v>33</v>
      </c>
      <c r="M31" s="8" t="s">
        <v>34</v>
      </c>
      <c r="N31" s="9" t="s">
        <v>35</v>
      </c>
      <c r="P31" s="8" t="s">
        <v>33</v>
      </c>
      <c r="Q31" s="8" t="s">
        <v>34</v>
      </c>
      <c r="R31" s="9" t="s">
        <v>35</v>
      </c>
      <c r="T31" s="8" t="s">
        <v>33</v>
      </c>
      <c r="U31" s="8" t="s">
        <v>34</v>
      </c>
      <c r="V31" s="9" t="s">
        <v>35</v>
      </c>
      <c r="X31" s="8" t="s">
        <v>33</v>
      </c>
      <c r="Y31" s="8" t="s">
        <v>34</v>
      </c>
      <c r="Z31" s="9" t="s">
        <v>35</v>
      </c>
      <c r="AB31" s="8" t="s">
        <v>33</v>
      </c>
      <c r="AC31" s="8" t="s">
        <v>34</v>
      </c>
      <c r="AD31" s="9" t="s">
        <v>35</v>
      </c>
      <c r="AF31" s="8" t="s">
        <v>33</v>
      </c>
      <c r="AG31" s="8" t="s">
        <v>34</v>
      </c>
      <c r="AH31" s="9" t="s">
        <v>35</v>
      </c>
      <c r="AJ31" s="8" t="s">
        <v>33</v>
      </c>
      <c r="AK31" s="8" t="s">
        <v>34</v>
      </c>
      <c r="AL31" s="9" t="s">
        <v>35</v>
      </c>
      <c r="AN31" s="8" t="s">
        <v>33</v>
      </c>
      <c r="AO31" s="8" t="s">
        <v>34</v>
      </c>
      <c r="AP31" s="9" t="s">
        <v>35</v>
      </c>
      <c r="AR31" s="8" t="s">
        <v>33</v>
      </c>
      <c r="AS31" s="8" t="s">
        <v>34</v>
      </c>
      <c r="AT31" s="9" t="s">
        <v>35</v>
      </c>
      <c r="AV31" s="8" t="s">
        <v>33</v>
      </c>
      <c r="AW31" s="8" t="s">
        <v>34</v>
      </c>
      <c r="AX31" s="9" t="s">
        <v>35</v>
      </c>
      <c r="AZ31" s="15"/>
      <c r="BA31" s="8" t="s">
        <v>33</v>
      </c>
      <c r="BB31" s="8" t="s">
        <v>34</v>
      </c>
      <c r="BC31" s="9" t="s">
        <v>35</v>
      </c>
    </row>
    <row r="32" spans="2:55" x14ac:dyDescent="0.25">
      <c r="B32" t="s">
        <v>0</v>
      </c>
      <c r="D32" s="10">
        <f>IFERROR(D12+D22,"")</f>
        <v>4750</v>
      </c>
      <c r="E32" s="10">
        <f>IF(OR(E$12="",E$13="",E$22="",E$23=""),"",E12+E22)</f>
        <v>6250</v>
      </c>
      <c r="F32" s="10">
        <f>IFERROR(IF(E32="","",E32-D32),"")</f>
        <v>1500</v>
      </c>
      <c r="H32" s="10">
        <f>IFERROR(H12+H22,"")</f>
        <v>4750</v>
      </c>
      <c r="I32" s="10">
        <f>IF(OR(I$12="",I$13="",I$22="",I$23=""),"",I12+I22)</f>
        <v>6500</v>
      </c>
      <c r="J32" s="10">
        <f>IFERROR(IF(I32="","",I32-H32),"")</f>
        <v>1750</v>
      </c>
      <c r="L32" s="10">
        <f>IFERROR(L12+L22,"")</f>
        <v>4750</v>
      </c>
      <c r="M32" s="10">
        <f>IF(OR(M$12="",M$13="",M$22="",M$23=""),"",M12+M22)</f>
        <v>6200</v>
      </c>
      <c r="N32" s="10">
        <f>IFERROR(IF(M32="","",M32-L32),"")</f>
        <v>1450</v>
      </c>
      <c r="P32" s="10">
        <f>IFERROR(P12+P22,"")</f>
        <v>4500</v>
      </c>
      <c r="Q32" s="10">
        <f>IF(OR(Q$12="",Q$13="",Q$22="",Q$23=""),"",Q12+Q22)</f>
        <v>6200</v>
      </c>
      <c r="R32" s="10">
        <f>IFERROR(IF(Q32="","",Q32-P32),"")</f>
        <v>1700</v>
      </c>
      <c r="T32" s="10">
        <f>IFERROR(T12+T22,"")</f>
        <v>5050</v>
      </c>
      <c r="U32" s="10">
        <f>IF(OR(U$12="",U$13="",U$22="",U$23=""),"",U12+U22)</f>
        <v>7750</v>
      </c>
      <c r="V32" s="10">
        <f>IFERROR(IF(U32="","",U32-T32),"")</f>
        <v>2700</v>
      </c>
      <c r="X32" s="10">
        <f>IFERROR(X12+X22,"")</f>
        <v>5050</v>
      </c>
      <c r="Y32" s="10">
        <f>IF(OR(Y$12="",Y$13="",Y$22="",Y$23=""),"",Y12+Y22)</f>
        <v>6850</v>
      </c>
      <c r="Z32" s="10">
        <f>IFERROR(IF(Y32="","",Y32-X32),"")</f>
        <v>1800</v>
      </c>
      <c r="AB32" s="10">
        <f>IFERROR(AB12+AB22,"")</f>
        <v>5600</v>
      </c>
      <c r="AC32" s="10">
        <f>IF(OR(AC$12="",AC$13="",AC$22="",AC$23=""),"",AC12+AC22)</f>
        <v>5700</v>
      </c>
      <c r="AD32" s="10">
        <f>IFERROR(IF(AC32="","",AC32-AB32),"")</f>
        <v>100</v>
      </c>
      <c r="AF32" s="10">
        <f>IFERROR(AF12+AF22,"")</f>
        <v>5500</v>
      </c>
      <c r="AG32" s="10">
        <f>IF(OR(AG$12="",AG$13="",AG$22="",AG$23=""),"",AG12+AG22)</f>
        <v>5400</v>
      </c>
      <c r="AH32" s="10">
        <f>IFERROR(IF(AG32="","",AG32-AF32),"")</f>
        <v>-100</v>
      </c>
      <c r="AJ32" s="10">
        <f>IFERROR(AJ12+AJ22,"")</f>
        <v>5700</v>
      </c>
      <c r="AK32" s="10">
        <f>IF(OR(AK$12="",AK$13="",AK$22="",AK$23=""),"",AK12+AK22)</f>
        <v>5900</v>
      </c>
      <c r="AL32" s="10">
        <f>IFERROR(IF(AK32="","",AK32-AJ32),"")</f>
        <v>200</v>
      </c>
      <c r="AN32" s="10">
        <f>IFERROR(AN12+AN22,"")</f>
        <v>5700</v>
      </c>
      <c r="AO32" s="10">
        <f>IF(OR(AO$12="",AO$13="",AO$22="",AO$23=""),"",AO12+AO22)</f>
        <v>6200</v>
      </c>
      <c r="AP32" s="10">
        <f>IFERROR(IF(AO32="","",AO32-AN32),"")</f>
        <v>500</v>
      </c>
      <c r="AR32" s="10">
        <f>IFERROR(AR12+AR22,"")</f>
        <v>5700</v>
      </c>
      <c r="AS32" s="10">
        <f>IF(OR(AS$12="",AS$13="",AS$22="",AS$23=""),"",AS12+AS22)</f>
        <v>6000</v>
      </c>
      <c r="AT32" s="10">
        <f>IFERROR(IF(AS32="","",AS32-AR32),"")</f>
        <v>300</v>
      </c>
      <c r="AV32" s="10">
        <f>IFERROR(AV12+AV22,"")</f>
        <v>5900</v>
      </c>
      <c r="AW32" s="10">
        <f>IF(OR(AW$12="",AW$13="",AW$22="",AW$23=""),"",AW12+AW22)</f>
        <v>5900</v>
      </c>
      <c r="AX32" s="10">
        <f>IFERROR(IF(AW32="","",AW32-AV32),"")</f>
        <v>0</v>
      </c>
      <c r="AZ32" s="15"/>
      <c r="BA32" s="10">
        <f>IFERROR(BA12+BA22,"")</f>
        <v>62950</v>
      </c>
      <c r="BB32" s="10">
        <f>IF(OR($E$12="",$E$13="",$E$22="",$E$23=""),"",BB12+BB22)</f>
        <v>74850</v>
      </c>
      <c r="BC32" s="10">
        <f>IFERROR(IF(BB32="","",BB32-BA32),"")</f>
        <v>11900</v>
      </c>
    </row>
    <row r="33" spans="2:55" x14ac:dyDescent="0.25">
      <c r="B33" t="s">
        <v>1</v>
      </c>
      <c r="D33" s="10">
        <f>IFERROR(D13+D23,"")</f>
        <v>5425</v>
      </c>
      <c r="E33" s="10">
        <f>IF(OR(E$12="",E$13="",E$22="",E$23=""),"",E13+E23)</f>
        <v>5200</v>
      </c>
      <c r="F33" s="10">
        <f>IFERROR(IF(E33="","",E33-D33),"")</f>
        <v>-225</v>
      </c>
      <c r="H33" s="10">
        <f>IFERROR(H13+H23,"")</f>
        <v>5425</v>
      </c>
      <c r="I33" s="10">
        <f>IF(OR(I$12="",I$13="",I$22="",I$23=""),"",I13+I23)</f>
        <v>5125</v>
      </c>
      <c r="J33" s="10">
        <f>IFERROR(IF(I33="","",I33-H33),"")</f>
        <v>-300</v>
      </c>
      <c r="L33" s="10">
        <f>IFERROR(L13+L23,"")</f>
        <v>5425</v>
      </c>
      <c r="M33" s="10">
        <f>IF(OR(M$12="",M$13="",M$22="",M$23=""),"",M13+M23)</f>
        <v>5600</v>
      </c>
      <c r="N33" s="10">
        <f>IFERROR(IF(M33="","",M33-L33),"")</f>
        <v>175</v>
      </c>
      <c r="P33" s="10">
        <f>IFERROR(P13+P23,"")</f>
        <v>5425</v>
      </c>
      <c r="Q33" s="10">
        <f>IF(OR(Q$12="",Q$13="",Q$22="",Q$23=""),"",Q13+Q23)</f>
        <v>5800</v>
      </c>
      <c r="R33" s="10">
        <f>IFERROR(IF(Q33="","",Q33-P33),"")</f>
        <v>375</v>
      </c>
      <c r="T33" s="10">
        <f>IFERROR(T13+T23,"")</f>
        <v>5950</v>
      </c>
      <c r="U33" s="10">
        <f>IF(OR(U$12="",U$13="",U$22="",U$23=""),"",U13+U23)</f>
        <v>6300</v>
      </c>
      <c r="V33" s="10">
        <f>IFERROR(IF(U33="","",U33-T33),"")</f>
        <v>350</v>
      </c>
      <c r="X33" s="10">
        <f>IFERROR(X13+X23,"")</f>
        <v>5950</v>
      </c>
      <c r="Y33" s="10">
        <f>IF(OR(Y$12="",Y$13="",Y$22="",Y$23=""),"",Y13+Y23)</f>
        <v>6500</v>
      </c>
      <c r="Z33" s="10">
        <f>IFERROR(IF(Y33="","",Y33-X33),"")</f>
        <v>550</v>
      </c>
      <c r="AB33" s="10">
        <f>IFERROR(AB13+AB23,"")</f>
        <v>5950</v>
      </c>
      <c r="AC33" s="10">
        <f>IF(OR(AC$12="",AC$13="",AC$22="",AC$23=""),"",AC13+AC23)</f>
        <v>5800</v>
      </c>
      <c r="AD33" s="10">
        <f>IFERROR(IF(AC33="","",AC33-AB33),"")</f>
        <v>-150</v>
      </c>
      <c r="AF33" s="10">
        <f>IFERROR(AF13+AF23,"")</f>
        <v>5950</v>
      </c>
      <c r="AG33" s="10">
        <f>IF(OR(AG$12="",AG$13="",AG$22="",AG$23=""),"",AG13+AG23)</f>
        <v>5850</v>
      </c>
      <c r="AH33" s="10">
        <f>IFERROR(IF(AG33="","",AG33-AF33),"")</f>
        <v>-100</v>
      </c>
      <c r="AJ33" s="10">
        <f>IFERROR(AJ13+AJ23,"")</f>
        <v>5950</v>
      </c>
      <c r="AK33" s="10">
        <f>IF(OR(AK$12="",AK$13="",AK$22="",AK$23=""),"",AK13+AK23)</f>
        <v>6250</v>
      </c>
      <c r="AL33" s="10">
        <f>IFERROR(IF(AK33="","",AK33-AJ33),"")</f>
        <v>300</v>
      </c>
      <c r="AN33" s="10">
        <f>IFERROR(AN13+AN23,"")</f>
        <v>5950</v>
      </c>
      <c r="AO33" s="10">
        <f>IF(OR(AO$12="",AO$13="",AO$22="",AO$23=""),"",AO13+AO23)</f>
        <v>6500</v>
      </c>
      <c r="AP33" s="10">
        <f>IFERROR(IF(AO33="","",AO33-AN33),"")</f>
        <v>550</v>
      </c>
      <c r="AR33" s="10">
        <f>IFERROR(AR13+AR23,"")</f>
        <v>5950</v>
      </c>
      <c r="AS33" s="10">
        <f>IF(OR(AS$12="",AS$13="",AS$22="",AS$23=""),"",AS13+AS23)</f>
        <v>7500</v>
      </c>
      <c r="AT33" s="10">
        <f>IFERROR(IF(AS33="","",AS33-AR33),"")</f>
        <v>1550</v>
      </c>
      <c r="AV33" s="10">
        <f>IFERROR(AV13+AV23,"")</f>
        <v>5950</v>
      </c>
      <c r="AW33" s="10">
        <f>IF(OR(AW$12="",AW$13="",AW$22="",AW$23=""),"",AW13+AW23)</f>
        <v>5950</v>
      </c>
      <c r="AX33" s="10">
        <f>IFERROR(IF(AW33="","",AW33-AV33),"")</f>
        <v>0</v>
      </c>
      <c r="AZ33" s="15"/>
      <c r="BA33" s="10">
        <f>IFERROR(BA13+BA23,"")</f>
        <v>69300</v>
      </c>
      <c r="BB33" s="10">
        <f>IF(OR($E$12="",$E$13="",$E$22="",$E$23=""),"",BB13+BB23)</f>
        <v>72375</v>
      </c>
      <c r="BC33" s="10">
        <f>IFERROR(IF(BB33="","",BB33-BA33),"")</f>
        <v>3075</v>
      </c>
    </row>
    <row r="34" spans="2:55" x14ac:dyDescent="0.25">
      <c r="B34" t="s">
        <v>2</v>
      </c>
      <c r="D34" s="10">
        <f>IFERROR(D14+D24,"")</f>
        <v>2325</v>
      </c>
      <c r="E34" s="11"/>
      <c r="F34" s="11"/>
      <c r="H34" s="10">
        <f>IFERROR(H14+H24,"")</f>
        <v>2325</v>
      </c>
      <c r="I34" s="11"/>
      <c r="J34" s="11"/>
      <c r="L34" s="10">
        <f>IFERROR(L14+L24,"")</f>
        <v>2325</v>
      </c>
      <c r="M34" s="11"/>
      <c r="N34" s="11"/>
      <c r="P34" s="10">
        <f>IFERROR(P14+P24,"")</f>
        <v>2325</v>
      </c>
      <c r="Q34" s="11"/>
      <c r="R34" s="11"/>
      <c r="T34" s="10">
        <f>IFERROR(T14+T24,"")</f>
        <v>2550</v>
      </c>
      <c r="U34" s="11"/>
      <c r="V34" s="11"/>
      <c r="X34" s="10">
        <f>IFERROR(X14+X24,"")</f>
        <v>2550</v>
      </c>
      <c r="Y34" s="11"/>
      <c r="Z34" s="11"/>
      <c r="AB34" s="10">
        <f>IFERROR(AB14+AB24,"")</f>
        <v>2550</v>
      </c>
      <c r="AC34" s="11"/>
      <c r="AD34" s="11"/>
      <c r="AF34" s="10">
        <f>IFERROR(AF14+AF24,"")</f>
        <v>2550</v>
      </c>
      <c r="AG34" s="11"/>
      <c r="AH34" s="11"/>
      <c r="AJ34" s="10">
        <f>IFERROR(AJ14+AJ24,"")</f>
        <v>2550</v>
      </c>
      <c r="AK34" s="11"/>
      <c r="AL34" s="11"/>
      <c r="AN34" s="10">
        <f>IFERROR(AN14+AN24,"")</f>
        <v>2550</v>
      </c>
      <c r="AO34" s="11"/>
      <c r="AP34" s="11"/>
      <c r="AR34" s="10">
        <f>IFERROR(AR14+AR24,"")</f>
        <v>2550</v>
      </c>
      <c r="AS34" s="11"/>
      <c r="AT34" s="11"/>
      <c r="AV34" s="10">
        <f>IFERROR(AV14+AV24,"")</f>
        <v>2550</v>
      </c>
      <c r="AW34" s="11"/>
      <c r="AX34" s="11"/>
      <c r="AZ34" s="15"/>
      <c r="BA34" s="10">
        <f>IFERROR(BA14+BA24,"")</f>
        <v>29700</v>
      </c>
      <c r="BB34" s="11"/>
      <c r="BC34" s="11"/>
    </row>
  </sheetData>
  <conditionalFormatting sqref="F12:F13 F22:F23 F32:F33">
    <cfRule type="cellIs" dxfId="117" priority="117" operator="greaterThan">
      <formula>0</formula>
    </cfRule>
    <cfRule type="cellIs" dxfId="116" priority="118" operator="lessThan">
      <formula>0</formula>
    </cfRule>
  </conditionalFormatting>
  <conditionalFormatting sqref="D8:D9 D18:D19 E12:E13 E22:E23">
    <cfRule type="containsBlanks" dxfId="115" priority="107">
      <formula>LEN(TRIM(D8))=0</formula>
    </cfRule>
  </conditionalFormatting>
  <conditionalFormatting sqref="J12:J13 J22:J23 J32:J33">
    <cfRule type="cellIs" dxfId="114" priority="105" operator="greaterThan">
      <formula>0</formula>
    </cfRule>
    <cfRule type="cellIs" dxfId="113" priority="106" operator="lessThan">
      <formula>0</formula>
    </cfRule>
  </conditionalFormatting>
  <conditionalFormatting sqref="I12:I13 I23">
    <cfRule type="containsBlanks" dxfId="112" priority="104">
      <formula>LEN(TRIM(I12))=0</formula>
    </cfRule>
  </conditionalFormatting>
  <conditionalFormatting sqref="N12:N13 N22:N23 N32:N33">
    <cfRule type="cellIs" dxfId="111" priority="102" operator="greaterThan">
      <formula>0</formula>
    </cfRule>
    <cfRule type="cellIs" dxfId="110" priority="103" operator="lessThan">
      <formula>0</formula>
    </cfRule>
  </conditionalFormatting>
  <conditionalFormatting sqref="M12:M13 M23">
    <cfRule type="containsBlanks" dxfId="109" priority="101">
      <formula>LEN(TRIM(M12))=0</formula>
    </cfRule>
  </conditionalFormatting>
  <conditionalFormatting sqref="R12:R13 R22:R23 R32:R33">
    <cfRule type="cellIs" dxfId="108" priority="99" operator="greaterThan">
      <formula>0</formula>
    </cfRule>
    <cfRule type="cellIs" dxfId="107" priority="100" operator="lessThan">
      <formula>0</formula>
    </cfRule>
  </conditionalFormatting>
  <conditionalFormatting sqref="Q12:Q13 Q23">
    <cfRule type="containsBlanks" dxfId="106" priority="98">
      <formula>LEN(TRIM(Q12))=0</formula>
    </cfRule>
  </conditionalFormatting>
  <conditionalFormatting sqref="V12:V13 V22:V23 V32:V33">
    <cfRule type="cellIs" dxfId="105" priority="96" operator="greaterThan">
      <formula>0</formula>
    </cfRule>
    <cfRule type="cellIs" dxfId="104" priority="97" operator="lessThan">
      <formula>0</formula>
    </cfRule>
  </conditionalFormatting>
  <conditionalFormatting sqref="T19 U12:U13 U22:U23">
    <cfRule type="containsBlanks" dxfId="103" priority="95">
      <formula>LEN(TRIM(T12))=0</formula>
    </cfRule>
  </conditionalFormatting>
  <conditionalFormatting sqref="Z12:Z13 Z22:Z23 Z32:Z33">
    <cfRule type="cellIs" dxfId="102" priority="93" operator="greaterThan">
      <formula>0</formula>
    </cfRule>
    <cfRule type="cellIs" dxfId="101" priority="94" operator="lessThan">
      <formula>0</formula>
    </cfRule>
  </conditionalFormatting>
  <conditionalFormatting sqref="Y12:Y13 Y22:Y23">
    <cfRule type="containsBlanks" dxfId="100" priority="92">
      <formula>LEN(TRIM(Y12))=0</formula>
    </cfRule>
  </conditionalFormatting>
  <conditionalFormatting sqref="AD12:AD13 AD22:AD23 AD32:AD33">
    <cfRule type="cellIs" dxfId="99" priority="90" operator="greaterThan">
      <formula>0</formula>
    </cfRule>
    <cfRule type="cellIs" dxfId="98" priority="91" operator="lessThan">
      <formula>0</formula>
    </cfRule>
  </conditionalFormatting>
  <conditionalFormatting sqref="AC12:AC13 AC22:AC23">
    <cfRule type="containsBlanks" dxfId="97" priority="89">
      <formula>LEN(TRIM(AC12))=0</formula>
    </cfRule>
  </conditionalFormatting>
  <conditionalFormatting sqref="AH12:AH13 AH22:AH23 AH32:AH33">
    <cfRule type="cellIs" dxfId="96" priority="87" operator="greaterThan">
      <formula>0</formula>
    </cfRule>
    <cfRule type="cellIs" dxfId="95" priority="88" operator="lessThan">
      <formula>0</formula>
    </cfRule>
  </conditionalFormatting>
  <conditionalFormatting sqref="AG12:AG13 AG22:AG23">
    <cfRule type="containsBlanks" dxfId="94" priority="86">
      <formula>LEN(TRIM(AG12))=0</formula>
    </cfRule>
  </conditionalFormatting>
  <conditionalFormatting sqref="AL12:AL13 AL22:AL23 AL32:AL33">
    <cfRule type="cellIs" dxfId="93" priority="84" operator="greaterThan">
      <formula>0</formula>
    </cfRule>
    <cfRule type="cellIs" dxfId="92" priority="85" operator="lessThan">
      <formula>0</formula>
    </cfRule>
  </conditionalFormatting>
  <conditionalFormatting sqref="AK12:AK13 AK22:AK23">
    <cfRule type="containsBlanks" dxfId="91" priority="83">
      <formula>LEN(TRIM(AK12))=0</formula>
    </cfRule>
  </conditionalFormatting>
  <conditionalFormatting sqref="AP12:AP13 AP22:AP23 AP32:AP33">
    <cfRule type="cellIs" dxfId="90" priority="81" operator="greaterThan">
      <formula>0</formula>
    </cfRule>
    <cfRule type="cellIs" dxfId="89" priority="82" operator="lessThan">
      <formula>0</formula>
    </cfRule>
  </conditionalFormatting>
  <conditionalFormatting sqref="AO12:AO13 AO22:AO23">
    <cfRule type="containsBlanks" dxfId="88" priority="80">
      <formula>LEN(TRIM(AO12))=0</formula>
    </cfRule>
  </conditionalFormatting>
  <conditionalFormatting sqref="AT12:AT13 AT22:AT23 AT32:AT33">
    <cfRule type="cellIs" dxfId="87" priority="78" operator="greaterThan">
      <formula>0</formula>
    </cfRule>
    <cfRule type="cellIs" dxfId="86" priority="79" operator="lessThan">
      <formula>0</formula>
    </cfRule>
  </conditionalFormatting>
  <conditionalFormatting sqref="AS12:AS13 AS22:AS23">
    <cfRule type="containsBlanks" dxfId="85" priority="77">
      <formula>LEN(TRIM(AS12))=0</formula>
    </cfRule>
  </conditionalFormatting>
  <conditionalFormatting sqref="AX12:AX13 AX22:AX23 AX32:AX33">
    <cfRule type="cellIs" dxfId="84" priority="75" operator="greaterThan">
      <formula>0</formula>
    </cfRule>
    <cfRule type="cellIs" dxfId="83" priority="76" operator="lessThan">
      <formula>0</formula>
    </cfRule>
  </conditionalFormatting>
  <conditionalFormatting sqref="AW12:AW13 AW22:AW23">
    <cfRule type="containsBlanks" dxfId="82" priority="74">
      <formula>LEN(TRIM(AW12))=0</formula>
    </cfRule>
  </conditionalFormatting>
  <conditionalFormatting sqref="BC32:BC33">
    <cfRule type="cellIs" dxfId="81" priority="72" operator="greaterThan">
      <formula>0</formula>
    </cfRule>
    <cfRule type="cellIs" dxfId="80" priority="73" operator="lessThan">
      <formula>0</formula>
    </cfRule>
  </conditionalFormatting>
  <conditionalFormatting sqref="BC12:BC13">
    <cfRule type="cellIs" dxfId="79" priority="66" operator="greaterThan">
      <formula>0</formula>
    </cfRule>
    <cfRule type="cellIs" dxfId="78" priority="67" operator="lessThan">
      <formula>0</formula>
    </cfRule>
  </conditionalFormatting>
  <conditionalFormatting sqref="BC22:BC23">
    <cfRule type="cellIs" dxfId="77" priority="64" operator="greaterThan">
      <formula>0</formula>
    </cfRule>
    <cfRule type="cellIs" dxfId="76" priority="65" operator="lessThan">
      <formula>0</formula>
    </cfRule>
  </conditionalFormatting>
  <conditionalFormatting sqref="I22">
    <cfRule type="containsBlanks" dxfId="75" priority="57">
      <formula>LEN(TRIM(I22))=0</formula>
    </cfRule>
  </conditionalFormatting>
  <conditionalFormatting sqref="Q22">
    <cfRule type="containsBlanks" dxfId="74" priority="55">
      <formula>LEN(TRIM(Q22))=0</formula>
    </cfRule>
  </conditionalFormatting>
  <conditionalFormatting sqref="H9">
    <cfRule type="containsBlanks" dxfId="73" priority="54">
      <formula>LEN(TRIM(H9))=0</formula>
    </cfRule>
  </conditionalFormatting>
  <conditionalFormatting sqref="L9">
    <cfRule type="containsBlanks" dxfId="72" priority="53">
      <formula>LEN(TRIM(L9))=0</formula>
    </cfRule>
  </conditionalFormatting>
  <conditionalFormatting sqref="P9">
    <cfRule type="containsBlanks" dxfId="71" priority="52">
      <formula>LEN(TRIM(P9))=0</formula>
    </cfRule>
  </conditionalFormatting>
  <conditionalFormatting sqref="T8:T9">
    <cfRule type="containsBlanks" dxfId="70" priority="51">
      <formula>LEN(TRIM(T8))=0</formula>
    </cfRule>
  </conditionalFormatting>
  <conditionalFormatting sqref="X8">
    <cfRule type="containsBlanks" dxfId="69" priority="50">
      <formula>LEN(TRIM(X8))=0</formula>
    </cfRule>
  </conditionalFormatting>
  <conditionalFormatting sqref="AF9">
    <cfRule type="containsBlanks" dxfId="68" priority="49">
      <formula>LEN(TRIM(AF9))=0</formula>
    </cfRule>
  </conditionalFormatting>
  <conditionalFormatting sqref="AV9">
    <cfRule type="containsBlanks" dxfId="67" priority="46">
      <formula>LEN(TRIM(AV9))=0</formula>
    </cfRule>
  </conditionalFormatting>
  <conditionalFormatting sqref="P19">
    <cfRule type="containsBlanks" dxfId="66" priority="43">
      <formula>LEN(TRIM(P19))=0</formula>
    </cfRule>
  </conditionalFormatting>
  <conditionalFormatting sqref="M22">
    <cfRule type="containsBlanks" dxfId="65" priority="36">
      <formula>LEN(TRIM(M22))=0</formula>
    </cfRule>
  </conditionalFormatting>
  <conditionalFormatting sqref="H8">
    <cfRule type="containsBlanks" dxfId="64" priority="35">
      <formula>LEN(TRIM(H8))=0</formula>
    </cfRule>
  </conditionalFormatting>
  <conditionalFormatting sqref="L8">
    <cfRule type="containsBlanks" dxfId="63" priority="34">
      <formula>LEN(TRIM(L8))=0</formula>
    </cfRule>
  </conditionalFormatting>
  <conditionalFormatting sqref="P8">
    <cfRule type="containsBlanks" dxfId="62" priority="33">
      <formula>LEN(TRIM(P8))=0</formula>
    </cfRule>
  </conditionalFormatting>
  <conditionalFormatting sqref="H18">
    <cfRule type="containsBlanks" dxfId="61" priority="32">
      <formula>LEN(TRIM(H18))=0</formula>
    </cfRule>
  </conditionalFormatting>
  <conditionalFormatting sqref="L18">
    <cfRule type="containsBlanks" dxfId="60" priority="31">
      <formula>LEN(TRIM(L18))=0</formula>
    </cfRule>
  </conditionalFormatting>
  <conditionalFormatting sqref="P18">
    <cfRule type="containsBlanks" dxfId="59" priority="30">
      <formula>LEN(TRIM(P18))=0</formula>
    </cfRule>
  </conditionalFormatting>
  <conditionalFormatting sqref="T18">
    <cfRule type="containsBlanks" dxfId="58" priority="29">
      <formula>LEN(TRIM(T18))=0</formula>
    </cfRule>
  </conditionalFormatting>
  <conditionalFormatting sqref="H19">
    <cfRule type="containsBlanks" dxfId="57" priority="27">
      <formula>LEN(TRIM(H19))=0</formula>
    </cfRule>
  </conditionalFormatting>
  <conditionalFormatting sqref="L19">
    <cfRule type="containsBlanks" dxfId="56" priority="26">
      <formula>LEN(TRIM(L19))=0</formula>
    </cfRule>
  </conditionalFormatting>
  <conditionalFormatting sqref="AB8">
    <cfRule type="containsBlanks" dxfId="55" priority="25">
      <formula>LEN(TRIM(AB8))=0</formula>
    </cfRule>
  </conditionalFormatting>
  <conditionalFormatting sqref="AF8">
    <cfRule type="containsBlanks" dxfId="54" priority="24">
      <formula>LEN(TRIM(AF8))=0</formula>
    </cfRule>
  </conditionalFormatting>
  <conditionalFormatting sqref="AJ8">
    <cfRule type="containsBlanks" dxfId="53" priority="23">
      <formula>LEN(TRIM(AJ8))=0</formula>
    </cfRule>
  </conditionalFormatting>
  <conditionalFormatting sqref="AN8">
    <cfRule type="containsBlanks" dxfId="52" priority="22">
      <formula>LEN(TRIM(AN8))=0</formula>
    </cfRule>
  </conditionalFormatting>
  <conditionalFormatting sqref="AR8">
    <cfRule type="containsBlanks" dxfId="51" priority="21">
      <formula>LEN(TRIM(AR8))=0</formula>
    </cfRule>
  </conditionalFormatting>
  <conditionalFormatting sqref="AV8">
    <cfRule type="containsBlanks" dxfId="50" priority="20">
      <formula>LEN(TRIM(AV8))=0</formula>
    </cfRule>
  </conditionalFormatting>
  <conditionalFormatting sqref="X9">
    <cfRule type="containsBlanks" dxfId="49" priority="19">
      <formula>LEN(TRIM(X9))=0</formula>
    </cfRule>
  </conditionalFormatting>
  <conditionalFormatting sqref="AB9">
    <cfRule type="containsBlanks" dxfId="48" priority="18">
      <formula>LEN(TRIM(AB9))=0</formula>
    </cfRule>
  </conditionalFormatting>
  <conditionalFormatting sqref="AJ9">
    <cfRule type="containsBlanks" dxfId="47" priority="17">
      <formula>LEN(TRIM(AJ9))=0</formula>
    </cfRule>
  </conditionalFormatting>
  <conditionalFormatting sqref="AN9">
    <cfRule type="containsBlanks" dxfId="46" priority="16">
      <formula>LEN(TRIM(AN9))=0</formula>
    </cfRule>
  </conditionalFormatting>
  <conditionalFormatting sqref="AR9">
    <cfRule type="containsBlanks" dxfId="45" priority="15">
      <formula>LEN(TRIM(AR9))=0</formula>
    </cfRule>
  </conditionalFormatting>
  <conditionalFormatting sqref="X19">
    <cfRule type="containsBlanks" dxfId="44" priority="14">
      <formula>LEN(TRIM(X19))=0</formula>
    </cfRule>
  </conditionalFormatting>
  <conditionalFormatting sqref="X18">
    <cfRule type="containsBlanks" dxfId="43" priority="13">
      <formula>LEN(TRIM(X18))=0</formula>
    </cfRule>
  </conditionalFormatting>
  <conditionalFormatting sqref="AB19">
    <cfRule type="containsBlanks" dxfId="42" priority="12">
      <formula>LEN(TRIM(AB19))=0</formula>
    </cfRule>
  </conditionalFormatting>
  <conditionalFormatting sqref="AB18">
    <cfRule type="containsBlanks" dxfId="41" priority="11">
      <formula>LEN(TRIM(AB18))=0</formula>
    </cfRule>
  </conditionalFormatting>
  <conditionalFormatting sqref="AF19">
    <cfRule type="containsBlanks" dxfId="40" priority="10">
      <formula>LEN(TRIM(AF19))=0</formula>
    </cfRule>
  </conditionalFormatting>
  <conditionalFormatting sqref="AF18">
    <cfRule type="containsBlanks" dxfId="39" priority="9">
      <formula>LEN(TRIM(AF18))=0</formula>
    </cfRule>
  </conditionalFormatting>
  <conditionalFormatting sqref="AJ19">
    <cfRule type="containsBlanks" dxfId="38" priority="8">
      <formula>LEN(TRIM(AJ19))=0</formula>
    </cfRule>
  </conditionalFormatting>
  <conditionalFormatting sqref="AJ18">
    <cfRule type="containsBlanks" dxfId="37" priority="7">
      <formula>LEN(TRIM(AJ18))=0</formula>
    </cfRule>
  </conditionalFormatting>
  <conditionalFormatting sqref="AN19">
    <cfRule type="containsBlanks" dxfId="36" priority="6">
      <formula>LEN(TRIM(AN19))=0</formula>
    </cfRule>
  </conditionalFormatting>
  <conditionalFormatting sqref="AN18">
    <cfRule type="containsBlanks" dxfId="35" priority="5">
      <formula>LEN(TRIM(AN18))=0</formula>
    </cfRule>
  </conditionalFormatting>
  <conditionalFormatting sqref="AR19">
    <cfRule type="containsBlanks" dxfId="34" priority="4">
      <formula>LEN(TRIM(AR19))=0</formula>
    </cfRule>
  </conditionalFormatting>
  <conditionalFormatting sqref="AR18">
    <cfRule type="containsBlanks" dxfId="33" priority="3">
      <formula>LEN(TRIM(AR18))=0</formula>
    </cfRule>
  </conditionalFormatting>
  <conditionalFormatting sqref="AV19">
    <cfRule type="containsBlanks" dxfId="32" priority="2">
      <formula>LEN(TRIM(AV19))=0</formula>
    </cfRule>
  </conditionalFormatting>
  <conditionalFormatting sqref="AV18">
    <cfRule type="containsBlanks" dxfId="31" priority="1">
      <formula>LEN(TRIM(AV18))=0</formula>
    </cfRule>
  </conditionalFormatting>
  <pageMargins left="0.7" right="0.7" top="0.75" bottom="0.75" header="0.3" footer="0.3"/>
  <pageSetup paperSize="9" scale="1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BDA7D7-F388-43AB-8700-488A58E246AA}">
  <sheetPr codeName="Sheet4"/>
  <dimension ref="B1:Q33"/>
  <sheetViews>
    <sheetView showGridLines="0" zoomScaleNormal="100" workbookViewId="0">
      <selection activeCell="H44" sqref="H44"/>
    </sheetView>
  </sheetViews>
  <sheetFormatPr defaultRowHeight="15" x14ac:dyDescent="0.25"/>
  <cols>
    <col min="1" max="1" width="3.7109375" style="6" customWidth="1"/>
    <col min="2" max="2" width="23.42578125" style="6" customWidth="1"/>
    <col min="3" max="3" width="11" style="6" customWidth="1"/>
    <col min="4" max="15" width="14.28515625" style="6" customWidth="1"/>
    <col min="16" max="16" width="3.7109375" style="6" customWidth="1"/>
    <col min="17" max="17" width="14.28515625" style="6" customWidth="1"/>
    <col min="18" max="16384" width="9.140625" style="6"/>
  </cols>
  <sheetData>
    <row r="1" spans="2:17" s="24" customFormat="1" ht="30" customHeight="1" x14ac:dyDescent="0.25"/>
    <row r="2" spans="2:17" ht="8.1" customHeight="1" x14ac:dyDescent="0.25">
      <c r="B2" s="27"/>
      <c r="C2" s="27"/>
      <c r="D2" s="27"/>
      <c r="E2" s="27"/>
      <c r="F2" s="27"/>
    </row>
    <row r="3" spans="2:17" ht="36" x14ac:dyDescent="0.55000000000000004">
      <c r="B3" s="28" t="str">
        <f>"Rachunek zysków i strat za rok "&amp;start!D12</f>
        <v>Rachunek zysków i strat za rok 2024</v>
      </c>
    </row>
    <row r="5" spans="2:17" x14ac:dyDescent="0.25">
      <c r="D5" s="33" t="str">
        <f>budżet!D6</f>
        <v>Styczeń</v>
      </c>
      <c r="E5" s="33" t="str">
        <f>budżet!H6</f>
        <v>Luty</v>
      </c>
      <c r="F5" s="33" t="str">
        <f>budżet!L6</f>
        <v>Marzec</v>
      </c>
      <c r="G5" s="33" t="str">
        <f>budżet!P6</f>
        <v>Kwiecień</v>
      </c>
      <c r="H5" s="33" t="str">
        <f>budżet!T6</f>
        <v>Maj</v>
      </c>
      <c r="I5" s="33" t="str">
        <f>budżet!X6</f>
        <v>Czerwiec</v>
      </c>
      <c r="J5" s="33" t="str">
        <f>budżet!AB6</f>
        <v>Lipiec</v>
      </c>
      <c r="K5" s="33" t="str">
        <f>budżet!AF6</f>
        <v>Sierpień</v>
      </c>
      <c r="L5" s="33" t="str">
        <f>budżet!AJ6</f>
        <v>Wrzesień</v>
      </c>
      <c r="M5" s="33" t="str">
        <f>budżet!AN6</f>
        <v>Październik</v>
      </c>
      <c r="N5" s="33" t="str">
        <f>budżet!AR6</f>
        <v>Listopad</v>
      </c>
      <c r="O5" s="33" t="str">
        <f>budżet!AV6</f>
        <v>Grudzień</v>
      </c>
    </row>
    <row r="6" spans="2:17" x14ac:dyDescent="0.25">
      <c r="B6" s="29" t="s">
        <v>46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37"/>
      <c r="Q6" s="31" t="s">
        <v>38</v>
      </c>
    </row>
    <row r="8" spans="2:17" s="26" customFormat="1" x14ac:dyDescent="0.25">
      <c r="B8" s="6" t="s">
        <v>47</v>
      </c>
      <c r="C8" s="6"/>
      <c r="D8" s="6">
        <f>IF(OR(D9="",D10="",D9=0,D10=0),"",SUM(D9:D10))</f>
        <v>11450</v>
      </c>
      <c r="E8" s="6">
        <f>IF(OR(E9="",E10="",E9=0,E10=0),"",SUM(E9:E10))</f>
        <v>11625</v>
      </c>
      <c r="F8" s="6">
        <f t="shared" ref="F8:O8" si="0">IF(OR(F9="",F10="",F9=0,F10=0),"",SUM(F9:F10))</f>
        <v>11800</v>
      </c>
      <c r="G8" s="6">
        <f t="shared" si="0"/>
        <v>12000</v>
      </c>
      <c r="H8" s="6">
        <f t="shared" si="0"/>
        <v>14050</v>
      </c>
      <c r="I8" s="6">
        <f t="shared" si="0"/>
        <v>13350</v>
      </c>
      <c r="J8" s="6">
        <f t="shared" si="0"/>
        <v>11500</v>
      </c>
      <c r="K8" s="6">
        <f t="shared" si="0"/>
        <v>11250</v>
      </c>
      <c r="L8" s="6">
        <f t="shared" si="0"/>
        <v>12150</v>
      </c>
      <c r="M8" s="6">
        <f t="shared" si="0"/>
        <v>12700</v>
      </c>
      <c r="N8" s="6">
        <f t="shared" si="0"/>
        <v>13500</v>
      </c>
      <c r="O8" s="6">
        <f t="shared" si="0"/>
        <v>11850</v>
      </c>
      <c r="P8" s="6"/>
      <c r="Q8" s="6">
        <f>IF(D8="","",SUM(Q9:Q10))</f>
        <v>147225</v>
      </c>
    </row>
    <row r="9" spans="2:17" s="26" customFormat="1" ht="11.25" x14ac:dyDescent="0.2">
      <c r="B9" s="26" t="s">
        <v>56</v>
      </c>
      <c r="D9" s="26">
        <f>budżet!E32</f>
        <v>6250</v>
      </c>
      <c r="E9" s="26">
        <f>IF(budżet!I32=0,"",budżet!I32)</f>
        <v>6500</v>
      </c>
      <c r="F9" s="26">
        <f>IF(budżet!M32=0,"",budżet!M32)</f>
        <v>6200</v>
      </c>
      <c r="G9" s="26">
        <f>IF(budżet!Q32=0,"",budżet!Q32)</f>
        <v>6200</v>
      </c>
      <c r="H9" s="26">
        <f>IF(budżet!U32=0,"",budżet!U32)</f>
        <v>7750</v>
      </c>
      <c r="I9" s="26">
        <f>IF(budżet!Y32=0,"",budżet!Y32)</f>
        <v>6850</v>
      </c>
      <c r="J9" s="26">
        <f>IF(budżet!AC32=0,"",budżet!AC32)</f>
        <v>5700</v>
      </c>
      <c r="K9" s="26">
        <f>IF(budżet!AG32=0,"",budżet!AG32)</f>
        <v>5400</v>
      </c>
      <c r="L9" s="26">
        <f>IF(budżet!AK32=0,"",budżet!AK32)</f>
        <v>5900</v>
      </c>
      <c r="M9" s="26">
        <f>IF(budżet!AO32=0,"",budżet!AO32)</f>
        <v>6200</v>
      </c>
      <c r="N9" s="26">
        <f>IF(budżet!AS32=0,"",budżet!AS32)</f>
        <v>6000</v>
      </c>
      <c r="O9" s="26">
        <f>IF(budżet!AW32=0,"",budżet!AW32)</f>
        <v>5900</v>
      </c>
      <c r="Q9" s="26">
        <f>IF(D9="","",SUM(D9:P9))</f>
        <v>74850</v>
      </c>
    </row>
    <row r="10" spans="2:17" x14ac:dyDescent="0.25">
      <c r="B10" s="26" t="s">
        <v>57</v>
      </c>
      <c r="C10" s="26"/>
      <c r="D10" s="26">
        <f>budżet!E33</f>
        <v>5200</v>
      </c>
      <c r="E10" s="26">
        <f>IF(budżet!I33=0,"",budżet!I33)</f>
        <v>5125</v>
      </c>
      <c r="F10" s="26">
        <f>IF(budżet!M33=0,"",budżet!M33)</f>
        <v>5600</v>
      </c>
      <c r="G10" s="26">
        <f>IF(budżet!Q33=0,"",budżet!Q33)</f>
        <v>5800</v>
      </c>
      <c r="H10" s="26">
        <f>IF(budżet!U33=0,"",budżet!U33)</f>
        <v>6300</v>
      </c>
      <c r="I10" s="26">
        <f>IF(budżet!Y33=0,"",budżet!Y33)</f>
        <v>6500</v>
      </c>
      <c r="J10" s="26">
        <f>IF(budżet!AC33=0,"",budżet!AC33)</f>
        <v>5800</v>
      </c>
      <c r="K10" s="26">
        <f>IF(budżet!AG33=0,"",budżet!AG33)</f>
        <v>5850</v>
      </c>
      <c r="L10" s="26">
        <f>IF(budżet!AK33=0,"",budżet!AK33)</f>
        <v>6250</v>
      </c>
      <c r="M10" s="26">
        <f>IF(budżet!AO33=0,"",budżet!AO33)</f>
        <v>6500</v>
      </c>
      <c r="N10" s="26">
        <f>IF(budżet!AS33=0,"",budżet!AS33)</f>
        <v>7500</v>
      </c>
      <c r="O10" s="26">
        <f>IF(budżet!AW33=0,"",budżet!AW33)</f>
        <v>5950</v>
      </c>
      <c r="P10" s="26"/>
      <c r="Q10" s="26">
        <f>IF(D10="","",SUM(D10:P10))</f>
        <v>72375</v>
      </c>
    </row>
    <row r="11" spans="2:17" s="16" customFormat="1" x14ac:dyDescent="0.25">
      <c r="B11" s="6" t="s">
        <v>48</v>
      </c>
      <c r="C11" s="6"/>
      <c r="D11" s="6">
        <v>250</v>
      </c>
      <c r="E11" s="6">
        <v>0</v>
      </c>
      <c r="F11" s="6">
        <v>0</v>
      </c>
      <c r="G11" s="6">
        <v>50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120</v>
      </c>
      <c r="N11" s="6">
        <v>0</v>
      </c>
      <c r="O11" s="6">
        <v>0</v>
      </c>
      <c r="P11" s="6"/>
      <c r="Q11" s="6">
        <f>SUM(D11:O11)</f>
        <v>420</v>
      </c>
    </row>
    <row r="12" spans="2:17" x14ac:dyDescent="0.25">
      <c r="B12" s="38" t="s">
        <v>38</v>
      </c>
      <c r="C12" s="38"/>
      <c r="D12" s="38">
        <f>IFERROR(D8+D11,"")</f>
        <v>11700</v>
      </c>
      <c r="E12" s="38">
        <f t="shared" ref="E12:O12" si="1">IFERROR(E8+E11,"")</f>
        <v>11625</v>
      </c>
      <c r="F12" s="38">
        <f t="shared" si="1"/>
        <v>11800</v>
      </c>
      <c r="G12" s="38">
        <f t="shared" si="1"/>
        <v>12050</v>
      </c>
      <c r="H12" s="38">
        <f t="shared" si="1"/>
        <v>14050</v>
      </c>
      <c r="I12" s="38">
        <f t="shared" si="1"/>
        <v>13350</v>
      </c>
      <c r="J12" s="38">
        <f t="shared" si="1"/>
        <v>11500</v>
      </c>
      <c r="K12" s="38">
        <f t="shared" si="1"/>
        <v>11250</v>
      </c>
      <c r="L12" s="38">
        <f t="shared" si="1"/>
        <v>12150</v>
      </c>
      <c r="M12" s="38">
        <f t="shared" si="1"/>
        <v>12820</v>
      </c>
      <c r="N12" s="38">
        <f t="shared" si="1"/>
        <v>13500</v>
      </c>
      <c r="O12" s="38">
        <f t="shared" si="1"/>
        <v>11850</v>
      </c>
      <c r="P12" s="16"/>
      <c r="Q12" s="38">
        <f>IFERROR(Q8+Q11,"")</f>
        <v>147645</v>
      </c>
    </row>
    <row r="14" spans="2:17" x14ac:dyDescent="0.25">
      <c r="B14" s="29" t="s">
        <v>49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</row>
    <row r="16" spans="2:17" x14ac:dyDescent="0.25">
      <c r="B16" s="6" t="s">
        <v>50</v>
      </c>
      <c r="D16" s="6">
        <v>1200</v>
      </c>
      <c r="E16" s="6">
        <v>1200</v>
      </c>
      <c r="F16" s="6">
        <v>1200</v>
      </c>
      <c r="G16" s="6">
        <v>1200</v>
      </c>
      <c r="H16" s="6">
        <v>1250</v>
      </c>
      <c r="I16" s="6">
        <v>1250</v>
      </c>
      <c r="J16" s="6">
        <v>1250</v>
      </c>
      <c r="K16" s="6">
        <v>1250</v>
      </c>
      <c r="L16" s="6">
        <v>1250</v>
      </c>
      <c r="M16" s="6">
        <v>1250</v>
      </c>
      <c r="N16" s="6">
        <v>1255</v>
      </c>
      <c r="O16" s="6">
        <v>1255</v>
      </c>
      <c r="Q16" s="6">
        <f>SUM(D16:O16)</f>
        <v>14810</v>
      </c>
    </row>
    <row r="17" spans="2:17" x14ac:dyDescent="0.25">
      <c r="B17" s="6" t="s">
        <v>51</v>
      </c>
      <c r="D17" s="6">
        <v>1100</v>
      </c>
      <c r="E17" s="6">
        <v>1050</v>
      </c>
      <c r="F17" s="6">
        <v>900</v>
      </c>
      <c r="G17" s="6">
        <v>805</v>
      </c>
      <c r="H17" s="6">
        <v>830</v>
      </c>
      <c r="I17" s="6">
        <v>805</v>
      </c>
      <c r="J17" s="6">
        <v>790</v>
      </c>
      <c r="K17" s="6">
        <v>775</v>
      </c>
      <c r="L17" s="6">
        <v>820</v>
      </c>
      <c r="M17" s="6">
        <v>900</v>
      </c>
      <c r="N17" s="6">
        <v>1100</v>
      </c>
      <c r="O17" s="6">
        <v>1300</v>
      </c>
      <c r="Q17" s="6">
        <f t="shared" ref="Q17:Q20" si="2">SUM(D17:O17)</f>
        <v>11175</v>
      </c>
    </row>
    <row r="18" spans="2:17" x14ac:dyDescent="0.25">
      <c r="B18" s="6" t="s">
        <v>52</v>
      </c>
      <c r="D18" s="6">
        <v>50</v>
      </c>
      <c r="E18" s="6">
        <v>45</v>
      </c>
      <c r="F18" s="6">
        <v>52</v>
      </c>
      <c r="G18" s="6">
        <v>48</v>
      </c>
      <c r="H18" s="6">
        <v>45</v>
      </c>
      <c r="I18" s="6">
        <v>55</v>
      </c>
      <c r="J18" s="6">
        <v>40</v>
      </c>
      <c r="K18" s="6">
        <v>45</v>
      </c>
      <c r="L18" s="6">
        <v>50</v>
      </c>
      <c r="M18" s="6">
        <v>50</v>
      </c>
      <c r="N18" s="6">
        <v>54</v>
      </c>
      <c r="O18" s="6">
        <v>50</v>
      </c>
      <c r="Q18" s="6">
        <f t="shared" si="2"/>
        <v>584</v>
      </c>
    </row>
    <row r="19" spans="2:17" x14ac:dyDescent="0.25">
      <c r="B19" s="6" t="s">
        <v>84</v>
      </c>
      <c r="D19" s="6">
        <v>90</v>
      </c>
      <c r="E19" s="6">
        <v>90</v>
      </c>
      <c r="F19" s="6">
        <v>90</v>
      </c>
      <c r="G19" s="6">
        <v>90</v>
      </c>
      <c r="H19" s="6">
        <v>90</v>
      </c>
      <c r="I19" s="6">
        <v>90</v>
      </c>
      <c r="J19" s="6">
        <v>90</v>
      </c>
      <c r="K19" s="6">
        <v>90</v>
      </c>
      <c r="L19" s="6">
        <v>90</v>
      </c>
      <c r="M19" s="6">
        <v>90</v>
      </c>
      <c r="N19" s="6">
        <v>90</v>
      </c>
      <c r="O19" s="6">
        <v>90</v>
      </c>
      <c r="Q19" s="6">
        <f t="shared" si="2"/>
        <v>1080</v>
      </c>
    </row>
    <row r="20" spans="2:17" s="16" customFormat="1" x14ac:dyDescent="0.25">
      <c r="B20" s="6" t="s">
        <v>70</v>
      </c>
      <c r="C20" s="6"/>
      <c r="D20" s="6">
        <v>2700</v>
      </c>
      <c r="E20" s="6">
        <v>2700</v>
      </c>
      <c r="F20" s="6">
        <v>2700</v>
      </c>
      <c r="G20" s="6">
        <v>3000</v>
      </c>
      <c r="H20" s="6">
        <v>3200</v>
      </c>
      <c r="I20" s="6">
        <v>3200</v>
      </c>
      <c r="J20" s="6">
        <v>3200</v>
      </c>
      <c r="K20" s="6">
        <v>3200</v>
      </c>
      <c r="L20" s="6">
        <v>3200</v>
      </c>
      <c r="M20" s="6">
        <v>3000</v>
      </c>
      <c r="N20" s="6">
        <v>2500</v>
      </c>
      <c r="O20" s="6">
        <v>2500</v>
      </c>
      <c r="P20" s="6"/>
      <c r="Q20" s="6">
        <f t="shared" si="2"/>
        <v>35100</v>
      </c>
    </row>
    <row r="21" spans="2:17" x14ac:dyDescent="0.25">
      <c r="B21" s="38" t="s">
        <v>38</v>
      </c>
      <c r="C21" s="38"/>
      <c r="D21" s="38">
        <f>IF(AND(D16="",D17="",D18="",D19="",D20=""),"",SUM(D16:D20))</f>
        <v>5140</v>
      </c>
      <c r="E21" s="38">
        <f t="shared" ref="E21:O21" si="3">IF(AND(E16="",E17="",E18="",E19="",E20=""),"",SUM(E16:E20))</f>
        <v>5085</v>
      </c>
      <c r="F21" s="38">
        <f t="shared" si="3"/>
        <v>4942</v>
      </c>
      <c r="G21" s="38">
        <f t="shared" si="3"/>
        <v>5143</v>
      </c>
      <c r="H21" s="38">
        <f t="shared" si="3"/>
        <v>5415</v>
      </c>
      <c r="I21" s="38">
        <f t="shared" si="3"/>
        <v>5400</v>
      </c>
      <c r="J21" s="38">
        <f t="shared" si="3"/>
        <v>5370</v>
      </c>
      <c r="K21" s="38">
        <f t="shared" si="3"/>
        <v>5360</v>
      </c>
      <c r="L21" s="38">
        <f t="shared" si="3"/>
        <v>5410</v>
      </c>
      <c r="M21" s="38">
        <f t="shared" si="3"/>
        <v>5290</v>
      </c>
      <c r="N21" s="38">
        <f t="shared" si="3"/>
        <v>4999</v>
      </c>
      <c r="O21" s="38">
        <f t="shared" si="3"/>
        <v>5195</v>
      </c>
      <c r="P21" s="16"/>
      <c r="Q21" s="38">
        <f t="shared" ref="Q21" si="4">SUM(Q16:Q20)</f>
        <v>62749</v>
      </c>
    </row>
    <row r="23" spans="2:17" x14ac:dyDescent="0.25">
      <c r="B23" s="6" t="s">
        <v>53</v>
      </c>
      <c r="D23" s="6">
        <v>850</v>
      </c>
      <c r="E23" s="6">
        <v>825</v>
      </c>
      <c r="F23" s="6">
        <v>900</v>
      </c>
      <c r="G23" s="6">
        <v>910</v>
      </c>
      <c r="H23" s="6">
        <v>700</v>
      </c>
      <c r="I23" s="6">
        <v>750</v>
      </c>
      <c r="J23" s="6">
        <v>800</v>
      </c>
      <c r="K23" s="6">
        <v>825</v>
      </c>
      <c r="L23" s="6">
        <v>790</v>
      </c>
      <c r="M23" s="6">
        <v>850</v>
      </c>
      <c r="N23" s="6">
        <v>900</v>
      </c>
      <c r="O23" s="6">
        <v>1200</v>
      </c>
      <c r="Q23" s="6">
        <f>SUM(D23:O23)</f>
        <v>10300</v>
      </c>
    </row>
    <row r="24" spans="2:17" x14ac:dyDescent="0.25">
      <c r="B24" s="6" t="s">
        <v>90</v>
      </c>
      <c r="D24" s="6">
        <v>0</v>
      </c>
      <c r="E24" s="6">
        <v>0</v>
      </c>
      <c r="F24" s="6">
        <v>0</v>
      </c>
      <c r="G24" s="6">
        <v>1500</v>
      </c>
      <c r="H24" s="6">
        <v>300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750</v>
      </c>
      <c r="Q24" s="6">
        <f>SUM(D24:O24)</f>
        <v>2550</v>
      </c>
    </row>
    <row r="25" spans="2:17" x14ac:dyDescent="0.25">
      <c r="B25" s="38" t="s">
        <v>38</v>
      </c>
      <c r="C25" s="38"/>
      <c r="D25" s="38">
        <f>IF(AND(D23="",D24=""),"",SUM(D23:D24))</f>
        <v>850</v>
      </c>
      <c r="E25" s="38">
        <f t="shared" ref="E25:O25" si="5">IF(AND(E23="",E24=""),"",SUM(E23:E24))</f>
        <v>825</v>
      </c>
      <c r="F25" s="38">
        <f t="shared" si="5"/>
        <v>900</v>
      </c>
      <c r="G25" s="38">
        <f t="shared" si="5"/>
        <v>2410</v>
      </c>
      <c r="H25" s="38">
        <f t="shared" si="5"/>
        <v>1000</v>
      </c>
      <c r="I25" s="38">
        <f t="shared" si="5"/>
        <v>750</v>
      </c>
      <c r="J25" s="38">
        <f t="shared" si="5"/>
        <v>800</v>
      </c>
      <c r="K25" s="38">
        <f t="shared" si="5"/>
        <v>825</v>
      </c>
      <c r="L25" s="38">
        <f t="shared" si="5"/>
        <v>790</v>
      </c>
      <c r="M25" s="38">
        <f t="shared" si="5"/>
        <v>850</v>
      </c>
      <c r="N25" s="38">
        <f t="shared" si="5"/>
        <v>900</v>
      </c>
      <c r="O25" s="38">
        <f t="shared" si="5"/>
        <v>1950</v>
      </c>
      <c r="Q25" s="38">
        <f t="shared" ref="Q25" si="6">SUM(Q23:Q24)</f>
        <v>12850</v>
      </c>
    </row>
    <row r="27" spans="2:17" x14ac:dyDescent="0.25">
      <c r="B27" s="6" t="s">
        <v>54</v>
      </c>
      <c r="D27" s="6">
        <v>150</v>
      </c>
      <c r="E27" s="6">
        <v>200</v>
      </c>
      <c r="F27" s="6">
        <v>160</v>
      </c>
      <c r="G27" s="6">
        <v>190</v>
      </c>
      <c r="H27" s="6">
        <v>140</v>
      </c>
      <c r="I27" s="6">
        <v>150</v>
      </c>
      <c r="J27" s="6">
        <v>125</v>
      </c>
      <c r="K27" s="6">
        <v>130</v>
      </c>
      <c r="L27" s="6">
        <v>150</v>
      </c>
      <c r="M27" s="6">
        <v>145</v>
      </c>
      <c r="N27" s="6">
        <v>160</v>
      </c>
      <c r="O27" s="6">
        <v>90</v>
      </c>
      <c r="Q27" s="6">
        <f>SUM(D27:O27)</f>
        <v>1790</v>
      </c>
    </row>
    <row r="28" spans="2:17" x14ac:dyDescent="0.25">
      <c r="B28" s="6" t="s">
        <v>55</v>
      </c>
      <c r="D28" s="6">
        <v>0</v>
      </c>
      <c r="E28" s="6">
        <v>0</v>
      </c>
      <c r="F28" s="6">
        <v>2500</v>
      </c>
      <c r="G28" s="6">
        <v>0</v>
      </c>
      <c r="H28" s="6">
        <v>45</v>
      </c>
      <c r="I28" s="6">
        <v>0</v>
      </c>
      <c r="J28" s="6">
        <v>0</v>
      </c>
      <c r="K28" s="6">
        <v>0</v>
      </c>
      <c r="L28" s="6">
        <v>0</v>
      </c>
      <c r="M28" s="6">
        <v>500</v>
      </c>
      <c r="N28" s="6">
        <v>0</v>
      </c>
      <c r="O28" s="6">
        <v>0</v>
      </c>
      <c r="Q28" s="6">
        <f>SUM(D28:O28)</f>
        <v>3045</v>
      </c>
    </row>
    <row r="29" spans="2:17" x14ac:dyDescent="0.25">
      <c r="B29" s="38" t="s">
        <v>38</v>
      </c>
      <c r="C29" s="38"/>
      <c r="D29" s="38">
        <f>IF(AND(D27="",D28=""),"",SUM(D27:D28))</f>
        <v>150</v>
      </c>
      <c r="E29" s="38">
        <f t="shared" ref="E29:O29" si="7">IF(AND(E27="",E28=""),"",SUM(E27:E28))</f>
        <v>200</v>
      </c>
      <c r="F29" s="38">
        <f t="shared" si="7"/>
        <v>2660</v>
      </c>
      <c r="G29" s="38">
        <f t="shared" si="7"/>
        <v>190</v>
      </c>
      <c r="H29" s="38">
        <f t="shared" si="7"/>
        <v>185</v>
      </c>
      <c r="I29" s="38">
        <f t="shared" si="7"/>
        <v>150</v>
      </c>
      <c r="J29" s="38">
        <f t="shared" si="7"/>
        <v>125</v>
      </c>
      <c r="K29" s="38">
        <f t="shared" si="7"/>
        <v>130</v>
      </c>
      <c r="L29" s="38">
        <f t="shared" si="7"/>
        <v>150</v>
      </c>
      <c r="M29" s="38">
        <f t="shared" si="7"/>
        <v>645</v>
      </c>
      <c r="N29" s="38">
        <f t="shared" si="7"/>
        <v>160</v>
      </c>
      <c r="O29" s="38">
        <f t="shared" si="7"/>
        <v>90</v>
      </c>
      <c r="Q29" s="38">
        <f t="shared" ref="Q29" si="8">SUM(Q27:Q28)</f>
        <v>4835</v>
      </c>
    </row>
    <row r="30" spans="2:17" x14ac:dyDescent="0.25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Q30" s="16"/>
    </row>
    <row r="31" spans="2:17" x14ac:dyDescent="0.25">
      <c r="B31" s="38" t="s">
        <v>66</v>
      </c>
      <c r="C31" s="38"/>
      <c r="D31" s="38">
        <f>IFERROR(D21+D25+D29,"")</f>
        <v>6140</v>
      </c>
      <c r="E31" s="38">
        <f t="shared" ref="E31:O31" si="9">IFERROR(E21+E25+E29,"")</f>
        <v>6110</v>
      </c>
      <c r="F31" s="38">
        <f t="shared" si="9"/>
        <v>8502</v>
      </c>
      <c r="G31" s="38">
        <f t="shared" si="9"/>
        <v>7743</v>
      </c>
      <c r="H31" s="38">
        <f t="shared" si="9"/>
        <v>6600</v>
      </c>
      <c r="I31" s="38">
        <f t="shared" si="9"/>
        <v>6300</v>
      </c>
      <c r="J31" s="38">
        <f t="shared" si="9"/>
        <v>6295</v>
      </c>
      <c r="K31" s="38">
        <f t="shared" si="9"/>
        <v>6315</v>
      </c>
      <c r="L31" s="38">
        <f t="shared" si="9"/>
        <v>6350</v>
      </c>
      <c r="M31" s="38">
        <f t="shared" si="9"/>
        <v>6785</v>
      </c>
      <c r="N31" s="38">
        <f t="shared" si="9"/>
        <v>6059</v>
      </c>
      <c r="O31" s="38">
        <f t="shared" si="9"/>
        <v>7235</v>
      </c>
      <c r="Q31" s="38">
        <f t="shared" ref="Q31" si="10">Q21+Q25+Q29</f>
        <v>80434</v>
      </c>
    </row>
    <row r="32" spans="2:17" ht="15.75" thickBot="1" x14ac:dyDescent="0.3"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Q32" s="40"/>
    </row>
    <row r="33" spans="2:17" ht="15.75" thickTop="1" x14ac:dyDescent="0.25">
      <c r="B33" s="16" t="s">
        <v>58</v>
      </c>
      <c r="D33" s="16">
        <f>IFERROR(D12-D31,"")</f>
        <v>5560</v>
      </c>
      <c r="E33" s="16">
        <f t="shared" ref="E33:Q33" si="11">IFERROR(E12-E31,"")</f>
        <v>5515</v>
      </c>
      <c r="F33" s="16">
        <f t="shared" si="11"/>
        <v>3298</v>
      </c>
      <c r="G33" s="16">
        <f t="shared" si="11"/>
        <v>4307</v>
      </c>
      <c r="H33" s="16">
        <f t="shared" si="11"/>
        <v>7450</v>
      </c>
      <c r="I33" s="16">
        <f t="shared" si="11"/>
        <v>7050</v>
      </c>
      <c r="J33" s="16">
        <f t="shared" si="11"/>
        <v>5205</v>
      </c>
      <c r="K33" s="16">
        <f t="shared" si="11"/>
        <v>4935</v>
      </c>
      <c r="L33" s="16">
        <f t="shared" si="11"/>
        <v>5800</v>
      </c>
      <c r="M33" s="16">
        <f t="shared" si="11"/>
        <v>6035</v>
      </c>
      <c r="N33" s="16">
        <f t="shared" si="11"/>
        <v>7441</v>
      </c>
      <c r="O33" s="16">
        <f t="shared" si="11"/>
        <v>4615</v>
      </c>
      <c r="Q33" s="16">
        <f t="shared" si="11"/>
        <v>67211</v>
      </c>
    </row>
  </sheetData>
  <conditionalFormatting sqref="P21:Q21">
    <cfRule type="cellIs" dxfId="30" priority="29" operator="equal">
      <formula>0</formula>
    </cfRule>
  </conditionalFormatting>
  <conditionalFormatting sqref="Q16:Q20">
    <cfRule type="containsBlanks" dxfId="29" priority="27">
      <formula>LEN(TRIM(Q16))=0</formula>
    </cfRule>
  </conditionalFormatting>
  <conditionalFormatting sqref="Q23:Q24">
    <cfRule type="containsBlanks" dxfId="28" priority="25">
      <formula>LEN(TRIM(Q23))=0</formula>
    </cfRule>
  </conditionalFormatting>
  <conditionalFormatting sqref="Q25">
    <cfRule type="cellIs" dxfId="27" priority="23" operator="equal">
      <formula>0</formula>
    </cfRule>
  </conditionalFormatting>
  <conditionalFormatting sqref="D30:O30">
    <cfRule type="cellIs" dxfId="26" priority="18" operator="equal">
      <formula>0</formula>
    </cfRule>
  </conditionalFormatting>
  <conditionalFormatting sqref="Q29:Q30">
    <cfRule type="cellIs" dxfId="25" priority="17" operator="equal">
      <formula>0</formula>
    </cfRule>
  </conditionalFormatting>
  <conditionalFormatting sqref="Q31">
    <cfRule type="cellIs" dxfId="24" priority="16" operator="equal">
      <formula>0</formula>
    </cfRule>
  </conditionalFormatting>
  <conditionalFormatting sqref="Q27:Q28">
    <cfRule type="containsBlanks" dxfId="23" priority="14">
      <formula>LEN(TRIM(Q27))=0</formula>
    </cfRule>
  </conditionalFormatting>
  <conditionalFormatting sqref="D33:O33">
    <cfRule type="cellIs" dxfId="22" priority="13" operator="lessThan">
      <formula>0</formula>
    </cfRule>
  </conditionalFormatting>
  <conditionalFormatting sqref="Q11:Q28">
    <cfRule type="cellIs" dxfId="21" priority="12" operator="equal">
      <formula>0</formula>
    </cfRule>
  </conditionalFormatting>
  <conditionalFormatting sqref="D11:O11">
    <cfRule type="containsBlanks" dxfId="20" priority="11">
      <formula>LEN(TRIM(D11))=0</formula>
    </cfRule>
  </conditionalFormatting>
  <conditionalFormatting sqref="D16:O20">
    <cfRule type="containsBlanks" dxfId="19" priority="10">
      <formula>LEN(TRIM(D16))=0</formula>
    </cfRule>
  </conditionalFormatting>
  <conditionalFormatting sqref="D23:O24">
    <cfRule type="containsBlanks" dxfId="18" priority="9">
      <formula>LEN(TRIM(D23))=0</formula>
    </cfRule>
  </conditionalFormatting>
  <conditionalFormatting sqref="D27:O28">
    <cfRule type="containsBlanks" dxfId="17" priority="8">
      <formula>LEN(TRIM(D27))=0</formula>
    </cfRule>
  </conditionalFormatting>
  <conditionalFormatting sqref="D12:O12">
    <cfRule type="cellIs" dxfId="16" priority="7" operator="equal">
      <formula>0</formula>
    </cfRule>
  </conditionalFormatting>
  <conditionalFormatting sqref="D21:O21">
    <cfRule type="cellIs" dxfId="15" priority="6" operator="equal">
      <formula>0</formula>
    </cfRule>
  </conditionalFormatting>
  <conditionalFormatting sqref="D25:O25">
    <cfRule type="cellIs" dxfId="14" priority="5" operator="equal">
      <formula>0</formula>
    </cfRule>
  </conditionalFormatting>
  <conditionalFormatting sqref="D31:O31">
    <cfRule type="cellIs" dxfId="13" priority="3" operator="equal">
      <formula>0</formula>
    </cfRule>
  </conditionalFormatting>
  <conditionalFormatting sqref="Q33">
    <cfRule type="cellIs" dxfId="12" priority="2" operator="lessThan">
      <formula>0</formula>
    </cfRule>
  </conditionalFormatting>
  <conditionalFormatting sqref="D29:O29">
    <cfRule type="cellIs" dxfId="11" priority="1" operator="equal">
      <formula>0</formula>
    </cfRule>
  </conditionalFormatting>
  <pageMargins left="0.7" right="0.7" top="0.75" bottom="0.75" header="0.3" footer="0.3"/>
  <pageSetup paperSize="9" scale="38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6BC90-1E2F-409C-B908-2DA1CDFA880A}">
  <sheetPr codeName="Sheet5"/>
  <dimension ref="B1:O35"/>
  <sheetViews>
    <sheetView showGridLines="0" zoomScaleNormal="100" workbookViewId="0">
      <selection activeCell="O25" sqref="O25"/>
    </sheetView>
  </sheetViews>
  <sheetFormatPr defaultRowHeight="15" x14ac:dyDescent="0.25"/>
  <cols>
    <col min="1" max="1" width="3.7109375" style="6" customWidth="1"/>
    <col min="2" max="2" width="23.42578125" style="6" customWidth="1"/>
    <col min="3" max="3" width="3.7109375" style="6" customWidth="1"/>
    <col min="4" max="15" width="14.28515625" style="6" customWidth="1"/>
    <col min="16" max="16384" width="9.140625" style="6"/>
  </cols>
  <sheetData>
    <row r="1" spans="2:15" s="24" customFormat="1" ht="30" customHeight="1" x14ac:dyDescent="0.25"/>
    <row r="2" spans="2:15" ht="8.1" customHeight="1" x14ac:dyDescent="0.25">
      <c r="B2" s="27"/>
      <c r="C2" s="27"/>
      <c r="D2" s="27"/>
      <c r="E2" s="27"/>
      <c r="F2" s="27"/>
    </row>
    <row r="3" spans="2:15" ht="36" x14ac:dyDescent="0.55000000000000004">
      <c r="B3" s="28" t="str">
        <f>"Bilans na rok "&amp;start!D12</f>
        <v>Bilans na rok 2024</v>
      </c>
    </row>
    <row r="5" spans="2:15" x14ac:dyDescent="0.25">
      <c r="D5" s="33" t="str">
        <f>budżet!D6</f>
        <v>Styczeń</v>
      </c>
      <c r="E5" s="33" t="str">
        <f>budżet!H6</f>
        <v>Luty</v>
      </c>
      <c r="F5" s="33" t="str">
        <f>budżet!L6</f>
        <v>Marzec</v>
      </c>
      <c r="G5" s="33" t="str">
        <f>budżet!P6</f>
        <v>Kwiecień</v>
      </c>
      <c r="H5" s="33" t="str">
        <f>budżet!T6</f>
        <v>Maj</v>
      </c>
      <c r="I5" s="33" t="str">
        <f>budżet!X6</f>
        <v>Czerwiec</v>
      </c>
      <c r="J5" s="33" t="str">
        <f>budżet!AB6</f>
        <v>Lipiec</v>
      </c>
      <c r="K5" s="33" t="str">
        <f>budżet!AF6</f>
        <v>Sierpień</v>
      </c>
      <c r="L5" s="33" t="str">
        <f>budżet!AJ6</f>
        <v>Wrzesień</v>
      </c>
      <c r="M5" s="33" t="str">
        <f>budżet!AN6</f>
        <v>Październik</v>
      </c>
      <c r="N5" s="33" t="str">
        <f>budżet!AR6</f>
        <v>Listopad</v>
      </c>
      <c r="O5" s="33" t="str">
        <f>budżet!AV6</f>
        <v>Grudzień</v>
      </c>
    </row>
    <row r="6" spans="2:15" x14ac:dyDescent="0.25">
      <c r="B6" s="29" t="s">
        <v>59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</row>
    <row r="7" spans="2:15" ht="8.1" customHeight="1" x14ac:dyDescent="0.25"/>
    <row r="8" spans="2:15" x14ac:dyDescent="0.25">
      <c r="B8" s="6" t="s">
        <v>62</v>
      </c>
      <c r="D8" s="6">
        <v>4000</v>
      </c>
      <c r="E8" s="6">
        <v>3340</v>
      </c>
      <c r="F8" s="6">
        <v>3010</v>
      </c>
      <c r="G8" s="6">
        <v>2500</v>
      </c>
      <c r="H8" s="6">
        <v>3500</v>
      </c>
      <c r="I8" s="6">
        <v>3300</v>
      </c>
      <c r="J8" s="6">
        <v>3200</v>
      </c>
      <c r="K8" s="6">
        <v>4500</v>
      </c>
      <c r="L8" s="6">
        <v>4250</v>
      </c>
      <c r="M8" s="6">
        <v>3900</v>
      </c>
      <c r="N8" s="6">
        <v>4010</v>
      </c>
      <c r="O8" s="6">
        <v>3500</v>
      </c>
    </row>
    <row r="9" spans="2:15" x14ac:dyDescent="0.25">
      <c r="B9" s="6" t="s">
        <v>1</v>
      </c>
      <c r="D9" s="6">
        <v>60000</v>
      </c>
      <c r="E9" s="6">
        <v>62000</v>
      </c>
      <c r="F9" s="6">
        <v>64000</v>
      </c>
      <c r="G9" s="6">
        <v>67000</v>
      </c>
      <c r="H9" s="6">
        <v>75000</v>
      </c>
      <c r="I9" s="6">
        <v>79000</v>
      </c>
      <c r="J9" s="6">
        <v>82000</v>
      </c>
      <c r="K9" s="6">
        <v>84000</v>
      </c>
      <c r="L9" s="6">
        <v>90000</v>
      </c>
      <c r="M9" s="6">
        <v>92000</v>
      </c>
      <c r="N9" s="6">
        <v>95000</v>
      </c>
      <c r="O9" s="6">
        <v>99000</v>
      </c>
    </row>
    <row r="10" spans="2:15" x14ac:dyDescent="0.25">
      <c r="B10" s="6" t="s">
        <v>63</v>
      </c>
      <c r="D10" s="6">
        <v>40000</v>
      </c>
      <c r="E10" s="6">
        <v>40000</v>
      </c>
      <c r="F10" s="6">
        <v>40000</v>
      </c>
      <c r="G10" s="6">
        <v>40000</v>
      </c>
      <c r="H10" s="6">
        <v>40000</v>
      </c>
      <c r="I10" s="6">
        <v>40000</v>
      </c>
      <c r="J10" s="6">
        <v>40000</v>
      </c>
      <c r="K10" s="6">
        <v>40000</v>
      </c>
      <c r="L10" s="6">
        <v>40000</v>
      </c>
      <c r="M10" s="6">
        <v>40000</v>
      </c>
      <c r="N10" s="6">
        <v>40000</v>
      </c>
      <c r="O10" s="6">
        <v>40000</v>
      </c>
    </row>
    <row r="12" spans="2:15" s="16" customFormat="1" x14ac:dyDescent="0.25">
      <c r="B12" s="30" t="s">
        <v>38</v>
      </c>
      <c r="C12" s="30"/>
      <c r="D12" s="30">
        <f>SUM(D8:D10)</f>
        <v>104000</v>
      </c>
      <c r="E12" s="30">
        <f t="shared" ref="E12:O12" si="0">SUM(E8:E10)</f>
        <v>105340</v>
      </c>
      <c r="F12" s="30">
        <f t="shared" si="0"/>
        <v>107010</v>
      </c>
      <c r="G12" s="30">
        <f t="shared" si="0"/>
        <v>109500</v>
      </c>
      <c r="H12" s="30">
        <f t="shared" si="0"/>
        <v>118500</v>
      </c>
      <c r="I12" s="30">
        <f t="shared" si="0"/>
        <v>122300</v>
      </c>
      <c r="J12" s="30">
        <f t="shared" si="0"/>
        <v>125200</v>
      </c>
      <c r="K12" s="30">
        <f t="shared" si="0"/>
        <v>128500</v>
      </c>
      <c r="L12" s="30">
        <f t="shared" si="0"/>
        <v>134250</v>
      </c>
      <c r="M12" s="30">
        <f t="shared" si="0"/>
        <v>135900</v>
      </c>
      <c r="N12" s="30">
        <f t="shared" si="0"/>
        <v>139010</v>
      </c>
      <c r="O12" s="30">
        <f t="shared" si="0"/>
        <v>142500</v>
      </c>
    </row>
    <row r="13" spans="2:15" s="16" customFormat="1" x14ac:dyDescent="0.25"/>
    <row r="14" spans="2:15" s="16" customFormat="1" x14ac:dyDescent="0.25">
      <c r="B14" s="32" t="s">
        <v>64</v>
      </c>
      <c r="D14" s="30">
        <f>IF(AND(D15=0,D17=0,D18=0),"",SUM(D15:D18))</f>
        <v>16250</v>
      </c>
      <c r="E14" s="30">
        <f t="shared" ref="E14:O14" si="1">IF(AND(E15=0,E17=0,E18=0),"",SUM(E15:E18))</f>
        <v>16625</v>
      </c>
      <c r="F14" s="30">
        <f t="shared" si="1"/>
        <v>16560</v>
      </c>
      <c r="G14" s="30">
        <f t="shared" si="1"/>
        <v>16840</v>
      </c>
      <c r="H14" s="30">
        <f t="shared" si="1"/>
        <v>17080</v>
      </c>
      <c r="I14" s="30">
        <f t="shared" si="1"/>
        <v>16560</v>
      </c>
      <c r="J14" s="30">
        <f t="shared" si="1"/>
        <v>16250</v>
      </c>
      <c r="K14" s="30">
        <f t="shared" si="1"/>
        <v>16625</v>
      </c>
      <c r="L14" s="30">
        <f t="shared" si="1"/>
        <v>16560</v>
      </c>
      <c r="M14" s="30">
        <f t="shared" si="1"/>
        <v>16840</v>
      </c>
      <c r="N14" s="30">
        <f t="shared" si="1"/>
        <v>17080</v>
      </c>
      <c r="O14" s="30">
        <f t="shared" si="1"/>
        <v>16560</v>
      </c>
    </row>
    <row r="15" spans="2:15" s="36" customFormat="1" ht="11.25" customHeight="1" x14ac:dyDescent="0.2">
      <c r="B15" s="35" t="s">
        <v>91</v>
      </c>
      <c r="D15" s="26">
        <v>1500</v>
      </c>
      <c r="E15" s="26">
        <v>1525</v>
      </c>
      <c r="F15" s="26">
        <v>1550</v>
      </c>
      <c r="G15" s="26">
        <v>1490</v>
      </c>
      <c r="H15" s="26">
        <v>1505</v>
      </c>
      <c r="I15" s="26">
        <v>1550</v>
      </c>
      <c r="J15" s="26">
        <v>1500</v>
      </c>
      <c r="K15" s="26">
        <v>1525</v>
      </c>
      <c r="L15" s="26">
        <v>1550</v>
      </c>
      <c r="M15" s="26">
        <v>1490</v>
      </c>
      <c r="N15" s="26">
        <v>1505</v>
      </c>
      <c r="O15" s="26">
        <v>1550</v>
      </c>
    </row>
    <row r="16" spans="2:15" s="36" customFormat="1" ht="11.25" customHeight="1" x14ac:dyDescent="0.2">
      <c r="B16" s="35" t="s">
        <v>91</v>
      </c>
      <c r="D16" s="26">
        <v>750</v>
      </c>
      <c r="E16" s="26">
        <v>800</v>
      </c>
      <c r="F16" s="26">
        <v>810</v>
      </c>
      <c r="G16" s="26">
        <v>850</v>
      </c>
      <c r="H16" s="26">
        <v>925</v>
      </c>
      <c r="I16" s="26">
        <v>810</v>
      </c>
      <c r="J16" s="26">
        <v>750</v>
      </c>
      <c r="K16" s="26">
        <v>800</v>
      </c>
      <c r="L16" s="26">
        <v>810</v>
      </c>
      <c r="M16" s="26">
        <v>850</v>
      </c>
      <c r="N16" s="26">
        <v>925</v>
      </c>
      <c r="O16" s="26">
        <v>810</v>
      </c>
    </row>
    <row r="17" spans="2:15" s="36" customFormat="1" ht="11.25" customHeight="1" x14ac:dyDescent="0.2">
      <c r="B17" s="35" t="s">
        <v>91</v>
      </c>
      <c r="D17" s="26">
        <v>14000</v>
      </c>
      <c r="E17" s="26">
        <v>14300</v>
      </c>
      <c r="F17" s="26">
        <v>14200</v>
      </c>
      <c r="G17" s="26">
        <v>14500</v>
      </c>
      <c r="H17" s="26">
        <v>14650</v>
      </c>
      <c r="I17" s="26">
        <v>14200</v>
      </c>
      <c r="J17" s="26">
        <v>14000</v>
      </c>
      <c r="K17" s="26">
        <v>14300</v>
      </c>
      <c r="L17" s="26">
        <v>14200</v>
      </c>
      <c r="M17" s="26">
        <v>14500</v>
      </c>
      <c r="N17" s="26">
        <v>14650</v>
      </c>
      <c r="O17" s="26">
        <v>14200</v>
      </c>
    </row>
    <row r="18" spans="2:15" s="36" customFormat="1" ht="11.25" customHeight="1" x14ac:dyDescent="0.2">
      <c r="B18" s="35" t="s">
        <v>91</v>
      </c>
      <c r="D18" s="26">
        <v>0</v>
      </c>
      <c r="E18" s="26">
        <v>0</v>
      </c>
      <c r="F18" s="26">
        <v>0</v>
      </c>
      <c r="G18" s="26">
        <v>0</v>
      </c>
      <c r="H18" s="26">
        <v>0</v>
      </c>
      <c r="I18" s="26">
        <v>0</v>
      </c>
      <c r="J18" s="26">
        <v>0</v>
      </c>
      <c r="K18" s="26">
        <v>0</v>
      </c>
      <c r="L18" s="26">
        <v>0</v>
      </c>
      <c r="M18" s="26">
        <v>0</v>
      </c>
      <c r="N18" s="26">
        <v>0</v>
      </c>
      <c r="O18" s="26">
        <v>0</v>
      </c>
    </row>
    <row r="19" spans="2:15" s="16" customFormat="1" x14ac:dyDescent="0.25">
      <c r="B19" s="32"/>
    </row>
    <row r="20" spans="2:15" s="16" customFormat="1" x14ac:dyDescent="0.25">
      <c r="B20" s="32" t="s">
        <v>65</v>
      </c>
      <c r="D20" s="30">
        <f>IF(AND(D21=0,D23=0,D24=0,D25=0),"",SUM(D21:D25))</f>
        <v>15100</v>
      </c>
      <c r="E20" s="30">
        <f t="shared" ref="E20:O20" si="2">IF(AND(E21=0,E23=0,E24=0,E25=0),"",SUM(E21:E25))</f>
        <v>15160</v>
      </c>
      <c r="F20" s="30">
        <f t="shared" si="2"/>
        <v>15020</v>
      </c>
      <c r="G20" s="30">
        <f t="shared" si="2"/>
        <v>15205</v>
      </c>
      <c r="H20" s="30">
        <f t="shared" si="2"/>
        <v>15225</v>
      </c>
      <c r="I20" s="30">
        <f t="shared" si="2"/>
        <v>15160</v>
      </c>
      <c r="J20" s="30">
        <f t="shared" si="2"/>
        <v>15020</v>
      </c>
      <c r="K20" s="30">
        <f t="shared" si="2"/>
        <v>15100</v>
      </c>
      <c r="L20" s="30">
        <f t="shared" si="2"/>
        <v>15160</v>
      </c>
      <c r="M20" s="30">
        <f t="shared" si="2"/>
        <v>20020</v>
      </c>
      <c r="N20" s="30">
        <f t="shared" si="2"/>
        <v>40215</v>
      </c>
      <c r="O20" s="30">
        <f t="shared" si="2"/>
        <v>45240</v>
      </c>
    </row>
    <row r="21" spans="2:15" s="16" customFormat="1" ht="11.25" customHeight="1" x14ac:dyDescent="0.25">
      <c r="B21" s="35" t="s">
        <v>91</v>
      </c>
      <c r="D21" s="26">
        <v>5000</v>
      </c>
      <c r="E21" s="26">
        <v>5010</v>
      </c>
      <c r="F21" s="26">
        <v>5015</v>
      </c>
      <c r="G21" s="26">
        <v>5005</v>
      </c>
      <c r="H21" s="26">
        <v>5100</v>
      </c>
      <c r="I21" s="26">
        <v>5010</v>
      </c>
      <c r="J21" s="26">
        <v>5015</v>
      </c>
      <c r="K21" s="26">
        <v>5000</v>
      </c>
      <c r="L21" s="26">
        <v>5010</v>
      </c>
      <c r="M21" s="26">
        <v>5015</v>
      </c>
      <c r="N21" s="26">
        <v>5005</v>
      </c>
      <c r="O21" s="26">
        <v>5100</v>
      </c>
    </row>
    <row r="22" spans="2:15" s="16" customFormat="1" ht="11.25" customHeight="1" x14ac:dyDescent="0.25">
      <c r="B22" s="35" t="s">
        <v>91</v>
      </c>
      <c r="D22" s="26">
        <v>10100</v>
      </c>
      <c r="E22" s="26">
        <v>10150</v>
      </c>
      <c r="F22" s="26">
        <v>10005</v>
      </c>
      <c r="G22" s="26">
        <v>10200</v>
      </c>
      <c r="H22" s="26">
        <v>10125</v>
      </c>
      <c r="I22" s="26">
        <v>10150</v>
      </c>
      <c r="J22" s="26">
        <v>10005</v>
      </c>
      <c r="K22" s="26">
        <v>10100</v>
      </c>
      <c r="L22" s="26">
        <v>10150</v>
      </c>
      <c r="M22" s="26">
        <v>10005</v>
      </c>
      <c r="N22" s="26">
        <v>10200</v>
      </c>
      <c r="O22" s="26">
        <v>10125</v>
      </c>
    </row>
    <row r="23" spans="2:15" s="16" customFormat="1" ht="11.25" customHeight="1" x14ac:dyDescent="0.25">
      <c r="B23" s="35" t="s">
        <v>91</v>
      </c>
      <c r="D23" s="26">
        <v>0</v>
      </c>
      <c r="E23" s="26">
        <v>0</v>
      </c>
      <c r="F23" s="26">
        <v>0</v>
      </c>
      <c r="G23" s="26">
        <v>0</v>
      </c>
      <c r="H23" s="26">
        <v>0</v>
      </c>
      <c r="I23" s="26">
        <v>0</v>
      </c>
      <c r="J23" s="26">
        <v>0</v>
      </c>
      <c r="K23" s="26">
        <v>0</v>
      </c>
      <c r="L23" s="26">
        <v>0</v>
      </c>
      <c r="M23" s="26">
        <v>5000</v>
      </c>
      <c r="N23" s="26">
        <v>5010</v>
      </c>
      <c r="O23" s="26">
        <v>5015</v>
      </c>
    </row>
    <row r="24" spans="2:15" s="16" customFormat="1" ht="11.25" customHeight="1" x14ac:dyDescent="0.25">
      <c r="B24" s="35" t="s">
        <v>91</v>
      </c>
      <c r="D24" s="26">
        <v>0</v>
      </c>
      <c r="E24" s="26">
        <v>0</v>
      </c>
      <c r="F24" s="26">
        <v>0</v>
      </c>
      <c r="G24" s="26">
        <v>0</v>
      </c>
      <c r="H24" s="26">
        <v>0</v>
      </c>
      <c r="I24" s="26">
        <v>0</v>
      </c>
      <c r="J24" s="26">
        <v>0</v>
      </c>
      <c r="K24" s="26">
        <v>0</v>
      </c>
      <c r="L24" s="26">
        <v>0</v>
      </c>
      <c r="M24" s="26">
        <v>0</v>
      </c>
      <c r="N24" s="26">
        <v>20000</v>
      </c>
      <c r="O24" s="26">
        <v>25000</v>
      </c>
    </row>
    <row r="25" spans="2:15" s="16" customFormat="1" ht="11.25" customHeight="1" x14ac:dyDescent="0.25">
      <c r="B25" s="35" t="s">
        <v>91</v>
      </c>
      <c r="D25" s="26">
        <v>0</v>
      </c>
      <c r="E25" s="26">
        <v>0</v>
      </c>
      <c r="F25" s="26">
        <v>0</v>
      </c>
      <c r="G25" s="26">
        <v>0</v>
      </c>
      <c r="H25" s="26">
        <v>0</v>
      </c>
      <c r="I25" s="26">
        <v>0</v>
      </c>
      <c r="J25" s="26">
        <v>0</v>
      </c>
      <c r="K25" s="26">
        <v>0</v>
      </c>
      <c r="L25" s="26">
        <v>0</v>
      </c>
      <c r="M25" s="26">
        <v>0</v>
      </c>
      <c r="N25" s="26">
        <v>0</v>
      </c>
      <c r="O25" s="26">
        <v>0</v>
      </c>
    </row>
    <row r="27" spans="2:15" x14ac:dyDescent="0.25">
      <c r="B27" s="38" t="s">
        <v>68</v>
      </c>
      <c r="C27" s="39"/>
      <c r="D27" s="30">
        <f>IFERROR(D14+D20,"")</f>
        <v>31350</v>
      </c>
      <c r="E27" s="30">
        <f t="shared" ref="E27:O27" si="3">IFERROR(E14+E20,"")</f>
        <v>31785</v>
      </c>
      <c r="F27" s="30">
        <f t="shared" si="3"/>
        <v>31580</v>
      </c>
      <c r="G27" s="30">
        <f t="shared" si="3"/>
        <v>32045</v>
      </c>
      <c r="H27" s="30">
        <f t="shared" si="3"/>
        <v>32305</v>
      </c>
      <c r="I27" s="30">
        <f t="shared" si="3"/>
        <v>31720</v>
      </c>
      <c r="J27" s="30">
        <f t="shared" si="3"/>
        <v>31270</v>
      </c>
      <c r="K27" s="30">
        <f t="shared" si="3"/>
        <v>31725</v>
      </c>
      <c r="L27" s="30">
        <f t="shared" si="3"/>
        <v>31720</v>
      </c>
      <c r="M27" s="30">
        <f t="shared" si="3"/>
        <v>36860</v>
      </c>
      <c r="N27" s="30">
        <f t="shared" si="3"/>
        <v>57295</v>
      </c>
      <c r="O27" s="30">
        <f t="shared" si="3"/>
        <v>61800</v>
      </c>
    </row>
    <row r="29" spans="2:15" x14ac:dyDescent="0.25">
      <c r="B29" s="38" t="s">
        <v>67</v>
      </c>
      <c r="C29" s="39"/>
      <c r="D29" s="30">
        <f>IFERROR(IF(D12+D27=0,"",D12+D27),"")</f>
        <v>135350</v>
      </c>
      <c r="E29" s="30">
        <f t="shared" ref="E29:O29" si="4">IFERROR(IF(E12+E27=0,"",E12+E27),"")</f>
        <v>137125</v>
      </c>
      <c r="F29" s="30">
        <f t="shared" si="4"/>
        <v>138590</v>
      </c>
      <c r="G29" s="30">
        <f t="shared" si="4"/>
        <v>141545</v>
      </c>
      <c r="H29" s="30">
        <f t="shared" si="4"/>
        <v>150805</v>
      </c>
      <c r="I29" s="30">
        <f t="shared" si="4"/>
        <v>154020</v>
      </c>
      <c r="J29" s="30">
        <f t="shared" si="4"/>
        <v>156470</v>
      </c>
      <c r="K29" s="30">
        <f t="shared" si="4"/>
        <v>160225</v>
      </c>
      <c r="L29" s="30">
        <f t="shared" si="4"/>
        <v>165970</v>
      </c>
      <c r="M29" s="30">
        <f t="shared" si="4"/>
        <v>172760</v>
      </c>
      <c r="N29" s="30">
        <f t="shared" si="4"/>
        <v>196305</v>
      </c>
      <c r="O29" s="30">
        <f t="shared" si="4"/>
        <v>204300</v>
      </c>
    </row>
    <row r="31" spans="2:15" x14ac:dyDescent="0.25">
      <c r="B31" s="29" t="s">
        <v>60</v>
      </c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</row>
    <row r="32" spans="2:15" ht="8.1" customHeight="1" x14ac:dyDescent="0.25"/>
    <row r="33" spans="2:15" x14ac:dyDescent="0.25">
      <c r="B33" s="6" t="s">
        <v>69</v>
      </c>
      <c r="D33" s="6">
        <v>150000</v>
      </c>
      <c r="E33" s="6">
        <v>149000</v>
      </c>
      <c r="F33" s="6">
        <v>147000</v>
      </c>
      <c r="G33" s="6">
        <v>130000</v>
      </c>
      <c r="H33" s="6">
        <v>129000</v>
      </c>
      <c r="I33" s="6">
        <v>128000</v>
      </c>
      <c r="J33" s="6">
        <v>126000</v>
      </c>
      <c r="K33" s="6">
        <v>125000</v>
      </c>
      <c r="L33" s="6">
        <v>124000</v>
      </c>
      <c r="M33" s="6">
        <v>123000</v>
      </c>
      <c r="N33" s="6">
        <v>70000</v>
      </c>
      <c r="O33" s="6">
        <v>65000</v>
      </c>
    </row>
    <row r="34" spans="2:15" ht="15.75" thickBot="1" x14ac:dyDescent="0.3">
      <c r="B34" s="40"/>
      <c r="C34" s="40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</row>
    <row r="35" spans="2:15" ht="15.75" thickTop="1" x14ac:dyDescent="0.25">
      <c r="B35" s="16" t="s">
        <v>61</v>
      </c>
      <c r="D35" s="6">
        <f>IFERROR(D29-D33,"")</f>
        <v>-14650</v>
      </c>
      <c r="E35" s="6">
        <f t="shared" ref="E35:O35" si="5">IFERROR(E29-E33,"")</f>
        <v>-11875</v>
      </c>
      <c r="F35" s="6">
        <f t="shared" si="5"/>
        <v>-8410</v>
      </c>
      <c r="G35" s="6">
        <f t="shared" si="5"/>
        <v>11545</v>
      </c>
      <c r="H35" s="6">
        <f t="shared" si="5"/>
        <v>21805</v>
      </c>
      <c r="I35" s="6">
        <f t="shared" si="5"/>
        <v>26020</v>
      </c>
      <c r="J35" s="6">
        <f t="shared" si="5"/>
        <v>30470</v>
      </c>
      <c r="K35" s="6">
        <f t="shared" si="5"/>
        <v>35225</v>
      </c>
      <c r="L35" s="6">
        <f t="shared" si="5"/>
        <v>41970</v>
      </c>
      <c r="M35" s="6">
        <f t="shared" si="5"/>
        <v>49760</v>
      </c>
      <c r="N35" s="6">
        <f t="shared" si="5"/>
        <v>126305</v>
      </c>
      <c r="O35" s="6">
        <f t="shared" si="5"/>
        <v>139300</v>
      </c>
    </row>
  </sheetData>
  <conditionalFormatting sqref="D35:O35">
    <cfRule type="cellIs" dxfId="10" priority="11" operator="lessThan">
      <formula>0</formula>
    </cfRule>
    <cfRule type="cellIs" dxfId="9" priority="12" operator="equal">
      <formula>0</formula>
    </cfRule>
  </conditionalFormatting>
  <conditionalFormatting sqref="D8:O10">
    <cfRule type="containsBlanks" dxfId="8" priority="10">
      <formula>LEN(TRIM(D8))=0</formula>
    </cfRule>
  </conditionalFormatting>
  <conditionalFormatting sqref="D15:O18">
    <cfRule type="containsBlanks" dxfId="7" priority="9">
      <formula>LEN(TRIM(D15))=0</formula>
    </cfRule>
  </conditionalFormatting>
  <conditionalFormatting sqref="D21:O25">
    <cfRule type="containsBlanks" dxfId="6" priority="8">
      <formula>LEN(TRIM(D21))=0</formula>
    </cfRule>
  </conditionalFormatting>
  <conditionalFormatting sqref="D33:O33">
    <cfRule type="containsBlanks" dxfId="5" priority="7">
      <formula>LEN(TRIM(D33))=0</formula>
    </cfRule>
  </conditionalFormatting>
  <conditionalFormatting sqref="D12:O12">
    <cfRule type="cellIs" dxfId="4" priority="6" operator="equal">
      <formula>0</formula>
    </cfRule>
  </conditionalFormatting>
  <conditionalFormatting sqref="D14:O14">
    <cfRule type="cellIs" dxfId="3" priority="5" operator="equal">
      <formula>0</formula>
    </cfRule>
  </conditionalFormatting>
  <conditionalFormatting sqref="D27:O27">
    <cfRule type="cellIs" dxfId="2" priority="3" operator="equal">
      <formula>0</formula>
    </cfRule>
  </conditionalFormatting>
  <conditionalFormatting sqref="D29:O29">
    <cfRule type="cellIs" dxfId="1" priority="2" operator="equal">
      <formula>0</formula>
    </cfRule>
  </conditionalFormatting>
  <conditionalFormatting sqref="D20:O20">
    <cfRule type="cellIs" dxfId="0" priority="1" operator="equal">
      <formula>0</formula>
    </cfRule>
  </conditionalFormatting>
  <pageMargins left="0.7" right="0.7" top="0.75" bottom="0.75" header="0.3" footer="0.3"/>
  <pageSetup paperSize="9" scale="41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AD2DAEB-F375-4345-93D6-789D3227819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tech</vt:lpstr>
      <vt:lpstr>tech_tbls</vt:lpstr>
      <vt:lpstr>start</vt:lpstr>
      <vt:lpstr>budżet</vt:lpstr>
      <vt:lpstr>PL</vt:lpstr>
      <vt:lpstr>BS</vt:lpstr>
      <vt:lpstr>months</vt:lpstr>
      <vt:lpstr>rate_fun</vt:lpstr>
      <vt:lpstr>rate_home</vt:lpstr>
      <vt:lpstr>rate_savings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Jarosław Krzysztofik</dc:creator>
  <cp:lastModifiedBy>Jarosław Krzysztofik</cp:lastModifiedBy>
  <cp:lastPrinted>2023-07-16T12:26:40Z</cp:lastPrinted>
  <dcterms:created xsi:type="dcterms:W3CDTF">2023-06-18T05:50:12Z</dcterms:created>
  <dcterms:modified xsi:type="dcterms:W3CDTF">2023-07-17T20:33:54Z</dcterms:modified>
</cp:coreProperties>
</file>