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ance_tracker/"/>
    </mc:Choice>
  </mc:AlternateContent>
  <xr:revisionPtr revIDLastSave="2643" documentId="8_{0E9E5696-3350-43C6-8351-27911017E977}" xr6:coauthVersionLast="47" xr6:coauthVersionMax="47" xr10:uidLastSave="{5916D281-8741-46A1-BB76-48A2E88767E2}"/>
  <bookViews>
    <workbookView xWindow="-120" yWindow="-120" windowWidth="38640" windowHeight="21240" firstSheet="2" activeTab="2" xr2:uid="{2A80446F-8F25-410E-B14C-72B6CAAD9E0E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6" i="11" l="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Q15" i="11" s="1"/>
  <c r="D14" i="11"/>
  <c r="E14" i="11"/>
  <c r="F14" i="11"/>
  <c r="G14" i="11"/>
  <c r="H14" i="11"/>
  <c r="I14" i="11"/>
  <c r="J14" i="11"/>
  <c r="C14" i="11"/>
  <c r="F16" i="11"/>
  <c r="J16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D29" i="11" s="1"/>
  <c r="F14" i="10"/>
  <c r="E29" i="11" s="1"/>
  <c r="G14" i="10"/>
  <c r="F29" i="11" s="1"/>
  <c r="H14" i="10"/>
  <c r="G29" i="11" s="1"/>
  <c r="I14" i="10"/>
  <c r="H29" i="11" s="1"/>
  <c r="J14" i="10"/>
  <c r="I29" i="11" s="1"/>
  <c r="K14" i="10"/>
  <c r="J29" i="11" s="1"/>
  <c r="L14" i="10"/>
  <c r="K29" i="11" s="1"/>
  <c r="M14" i="10"/>
  <c r="L29" i="11" s="1"/>
  <c r="N14" i="10"/>
  <c r="M29" i="11" s="1"/>
  <c r="O14" i="10"/>
  <c r="N29" i="11" s="1"/>
  <c r="D14" i="10"/>
  <c r="C29" i="11" s="1"/>
  <c r="K28" i="11"/>
  <c r="L28" i="11"/>
  <c r="N28" i="11"/>
  <c r="D27" i="11"/>
  <c r="E27" i="11"/>
  <c r="F27" i="11"/>
  <c r="G27" i="11"/>
  <c r="H27" i="11"/>
  <c r="I27" i="11"/>
  <c r="J27" i="11"/>
  <c r="K27" i="11"/>
  <c r="L27" i="11"/>
  <c r="M27" i="11"/>
  <c r="N27" i="1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L31" i="7"/>
  <c r="E29" i="7"/>
  <c r="D16" i="11" s="1"/>
  <c r="F29" i="7"/>
  <c r="E16" i="11" s="1"/>
  <c r="G29" i="7"/>
  <c r="H29" i="7"/>
  <c r="G16" i="11" s="1"/>
  <c r="I29" i="7"/>
  <c r="H16" i="11" s="1"/>
  <c r="J29" i="7"/>
  <c r="I16" i="11" s="1"/>
  <c r="K29" i="7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F31" i="7" s="1"/>
  <c r="G21" i="7"/>
  <c r="H21" i="7"/>
  <c r="I21" i="7"/>
  <c r="J21" i="7"/>
  <c r="J31" i="7" s="1"/>
  <c r="K21" i="7"/>
  <c r="L21" i="7"/>
  <c r="M21" i="7"/>
  <c r="M31" i="7" s="1"/>
  <c r="N21" i="7"/>
  <c r="N31" i="7" s="1"/>
  <c r="O21" i="7"/>
  <c r="O31" i="7" s="1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E20" i="10"/>
  <c r="D28" i="11" s="1"/>
  <c r="F20" i="10"/>
  <c r="E28" i="11" s="1"/>
  <c r="G20" i="10"/>
  <c r="F28" i="11" s="1"/>
  <c r="H20" i="10"/>
  <c r="G28" i="11" s="1"/>
  <c r="I20" i="10"/>
  <c r="H28" i="11" s="1"/>
  <c r="J20" i="10"/>
  <c r="I28" i="11" s="1"/>
  <c r="K20" i="10"/>
  <c r="J28" i="11" s="1"/>
  <c r="L20" i="10"/>
  <c r="M20" i="10"/>
  <c r="N20" i="10"/>
  <c r="O20" i="10"/>
  <c r="D20" i="10"/>
  <c r="C28" i="11" s="1"/>
  <c r="B3" i="10"/>
  <c r="B15" i="1"/>
  <c r="M28" i="11" l="1"/>
  <c r="Q21" i="11" a="1"/>
  <c r="Q21" i="11" s="1"/>
  <c r="Q26" i="11" a="1"/>
  <c r="Q26" i="11" s="1"/>
  <c r="Q27" i="11" a="1"/>
  <c r="Q27" i="11" s="1"/>
  <c r="Q31" i="11" a="1"/>
  <c r="Q31" i="11" s="1"/>
  <c r="K31" i="7"/>
  <c r="I31" i="7"/>
  <c r="H31" i="7"/>
  <c r="G31" i="7"/>
  <c r="F4" i="11" s="1"/>
  <c r="E31" i="7"/>
  <c r="D31" i="7"/>
  <c r="Q9" i="11"/>
  <c r="Q29" i="11" a="1"/>
  <c r="Q29" i="11" s="1"/>
  <c r="Q28" i="11" a="1"/>
  <c r="Q28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H4" i="11"/>
  <c r="M4" i="11"/>
  <c r="L4" i="11"/>
  <c r="I4" i="11"/>
  <c r="J4" i="11"/>
  <c r="N4" i="11"/>
  <c r="Q29" i="7"/>
  <c r="E4" i="11"/>
  <c r="D4" i="11"/>
  <c r="K4" i="11"/>
  <c r="G4" i="11"/>
  <c r="Q25" i="7"/>
  <c r="Q21" i="7"/>
  <c r="C4" i="11"/>
  <c r="Q24" i="5"/>
  <c r="Q18" i="5" s="1"/>
  <c r="M24" i="5"/>
  <c r="M18" i="5" s="1"/>
  <c r="I24" i="5"/>
  <c r="I18" i="5" s="1"/>
  <c r="AW14" i="5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T23" i="5"/>
  <c r="AR23" i="5"/>
  <c r="AP23" i="5"/>
  <c r="AN23" i="5"/>
  <c r="AL23" i="5"/>
  <c r="AJ23" i="5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W18" i="5"/>
  <c r="AS18" i="5"/>
  <c r="AK18" i="5"/>
  <c r="AC18" i="5"/>
  <c r="AV14" i="5"/>
  <c r="AR14" i="5"/>
  <c r="AR34" i="5" s="1"/>
  <c r="AN14" i="5"/>
  <c r="AJ14" i="5"/>
  <c r="AF14" i="5"/>
  <c r="AB14" i="5"/>
  <c r="AV13" i="5"/>
  <c r="AT13" i="5"/>
  <c r="AR13" i="5"/>
  <c r="AP13" i="5"/>
  <c r="AN13" i="5"/>
  <c r="AN33" i="5" s="1"/>
  <c r="AL13" i="5"/>
  <c r="AJ13" i="5"/>
  <c r="AF13" i="5"/>
  <c r="AB13" i="5"/>
  <c r="AB33" i="5" s="1"/>
  <c r="AV12" i="5"/>
  <c r="AX12" i="5" s="1"/>
  <c r="AR12" i="5"/>
  <c r="AP12" i="5"/>
  <c r="AN12" i="5"/>
  <c r="AJ12" i="5"/>
  <c r="AF12" i="5"/>
  <c r="AH12" i="5" s="1"/>
  <c r="AB12" i="5"/>
  <c r="AB32" i="5" s="1"/>
  <c r="AW8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T23" i="5"/>
  <c r="V23" i="5" s="1"/>
  <c r="V22" i="5"/>
  <c r="T22" i="5"/>
  <c r="T14" i="5"/>
  <c r="T13" i="5"/>
  <c r="V13" i="5" s="1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J22" i="5" s="1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AR33" i="5" l="1"/>
  <c r="AF33" i="5"/>
  <c r="AH13" i="5"/>
  <c r="AB34" i="5"/>
  <c r="AD13" i="5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R32" i="5"/>
  <c r="AT12" i="5"/>
  <c r="AV33" i="5"/>
  <c r="AX13" i="5"/>
  <c r="AN32" i="5"/>
  <c r="AJ32" i="5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AH33" i="5"/>
  <c r="K10" i="7"/>
  <c r="AD32" i="5"/>
  <c r="J9" i="7"/>
  <c r="AL33" i="5"/>
  <c r="L10" i="7"/>
  <c r="H9" i="7"/>
  <c r="I10" i="7"/>
  <c r="K9" i="7"/>
  <c r="O9" i="7"/>
  <c r="AP33" i="5"/>
  <c r="M10" i="7"/>
  <c r="AP32" i="5"/>
  <c r="M9" i="7"/>
  <c r="AX33" i="5"/>
  <c r="O10" i="7"/>
  <c r="I9" i="7"/>
  <c r="AT32" i="5"/>
  <c r="N9" i="7"/>
  <c r="G9" i="7"/>
  <c r="H10" i="7"/>
  <c r="AL32" i="5"/>
  <c r="L9" i="7"/>
  <c r="AD33" i="5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H8" i="11"/>
  <c r="F5" i="10"/>
  <c r="F5" i="7"/>
  <c r="E5" i="10"/>
  <c r="E5" i="7"/>
  <c r="H5" i="10"/>
  <c r="H5" i="7"/>
  <c r="I5" i="10"/>
  <c r="I5" i="7"/>
  <c r="I8" i="11"/>
  <c r="J8" i="11"/>
  <c r="J25" i="11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F19" i="11" l="1"/>
  <c r="F8" i="11"/>
  <c r="G8" i="11"/>
  <c r="N25" i="11"/>
  <c r="N19" i="11"/>
  <c r="N8" i="11"/>
  <c r="M8" i="11"/>
  <c r="M25" i="11"/>
  <c r="M19" i="11"/>
  <c r="L25" i="11"/>
  <c r="L8" i="11"/>
  <c r="L19" i="11"/>
  <c r="K25" i="11"/>
  <c r="K8" i="11"/>
  <c r="K19" i="11"/>
  <c r="I25" i="11"/>
  <c r="H25" i="11"/>
  <c r="G19" i="11"/>
  <c r="Q3" i="11"/>
  <c r="Q5" i="11" s="1"/>
  <c r="C5" i="11"/>
  <c r="C1" i="11" s="1"/>
  <c r="C2" i="11" s="1"/>
  <c r="C19" i="11" l="1"/>
  <c r="C25" i="11"/>
  <c r="C8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<sst xmlns="http://schemas.openxmlformats.org/spreadsheetml/2006/main" count="250" uniqueCount="92">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</sst>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</cellXfs>
  <cellStyles count="2">
    <cellStyle name="Normal" xfId="0" builtinId="0"/>
    <cellStyle name="Percent" xfId="1" builtinId="5"/>
  </cellStyles>
  <dxfs count="9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1.00</c:v>
              </c:pt>
              <c:pt idx="1">
                <c:v>2.00</c:v>
              </c:pt>
              <c:pt idx="2">
                <c:v>3.00</c:v>
              </c:pt>
              <c:pt idx="3">
                <c:v>4.00</c:v>
              </c:pt>
              <c:pt idx="4">
                <c:v>5.00</c:v>
              </c:pt>
              <c:pt idx="5">
                <c:v>6.00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Rozkład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Rozkład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95250</xdr:rowOff>
    </xdr:from>
    <xdr:to>
      <xdr:col>32</xdr:col>
      <xdr:colOff>351074</xdr:colOff>
      <xdr:row>25</xdr:row>
      <xdr:rowOff>47100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#N/A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J19" sqref="J19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45123.564738773151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R20" sqref="R20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6" t="str">
        <f>IF(C5="","",tech!$E22)</f>
        <v/>
      </c>
      <c r="D1" s="6" t="str">
        <f>IF(D5="","",tech!$E23)</f>
        <v/>
      </c>
      <c r="E1" s="6" t="str">
        <f>IF(E5="","",tech!$E24)</f>
        <v/>
      </c>
      <c r="F1" s="6" t="str">
        <f>IF(F5="","",tech!$E25)</f>
        <v/>
      </c>
      <c r="G1" s="6" t="str">
        <f>IF(G5="","",tech!$E26)</f>
        <v/>
      </c>
      <c r="H1" s="6" t="str">
        <f>IF(H5="","",tech!$E27)</f>
        <v/>
      </c>
      <c r="I1" s="6" t="str">
        <f>IF(I5="","",tech!$E28)</f>
        <v/>
      </c>
      <c r="J1" s="6" t="str">
        <f>IF(J5="","",tech!$E29)</f>
        <v/>
      </c>
      <c r="K1" s="6" t="str">
        <f>IF(K5="","",tech!$E30)</f>
        <v/>
      </c>
      <c r="L1" s="6" t="str">
        <f>IF(L5="","",tech!$E31)</f>
        <v/>
      </c>
      <c r="M1" s="6" t="str">
        <f>IF(M5="","",tech!$E32)</f>
        <v/>
      </c>
      <c r="N1" s="6" t="str">
        <f>IF(N5="","",tech!$E33)</f>
        <v/>
      </c>
    </row>
    <row r="2" spans="2:17" x14ac:dyDescent="0.25">
      <c r="C2" s="16" t="str">
        <f t="shared" ref="C2:N2" si="0">C1</f>
        <v/>
      </c>
      <c r="D2" s="16" t="str">
        <f t="shared" si="0"/>
        <v/>
      </c>
      <c r="E2" s="16" t="str">
        <f t="shared" si="0"/>
        <v/>
      </c>
      <c r="F2" s="16" t="str">
        <f t="shared" si="0"/>
        <v/>
      </c>
      <c r="G2" s="16" t="str">
        <f t="shared" si="0"/>
        <v/>
      </c>
      <c r="H2" s="16" t="str">
        <f t="shared" si="0"/>
        <v/>
      </c>
      <c r="I2" s="16" t="str">
        <f t="shared" si="0"/>
        <v/>
      </c>
      <c r="J2" s="16" t="str">
        <f t="shared" si="0"/>
        <v/>
      </c>
      <c r="K2" s="6" t="str">
        <f t="shared" si="0"/>
        <v/>
      </c>
      <c r="L2" s="6" t="str">
        <f t="shared" si="0"/>
        <v/>
      </c>
      <c r="M2" s="6" t="str">
        <f t="shared" si="0"/>
        <v/>
      </c>
      <c r="N2" s="6" t="str">
        <f t="shared" si="0"/>
        <v/>
      </c>
      <c r="P2" s="16" t="s">
        <v>80</v>
      </c>
    </row>
    <row r="3" spans="2:17" x14ac:dyDescent="0.25">
      <c r="B3" s="6" t="s">
        <v>72</v>
      </c>
      <c r="C3" s="6" t="str">
        <f>IF(PL!D12="","",PL!D12)</f>
        <v/>
      </c>
      <c r="D3" s="6" t="str">
        <f>IF(PL!E12="","",PL!E12)</f>
        <v/>
      </c>
      <c r="E3" s="6" t="str">
        <f>IF(PL!F12="","",PL!F12)</f>
        <v/>
      </c>
      <c r="F3" s="6" t="str">
        <f>IF(PL!G12="","",PL!G12)</f>
        <v/>
      </c>
      <c r="G3" s="6" t="str">
        <f>IF(PL!H12="","",PL!H12)</f>
        <v/>
      </c>
      <c r="H3" s="6" t="str">
        <f>IF(PL!I12="","",PL!I12)</f>
        <v/>
      </c>
      <c r="I3" s="6" t="str">
        <f>IF(PL!J12="","",PL!J12)</f>
        <v/>
      </c>
      <c r="J3" s="6" t="str">
        <f>IF(PL!K12="","",PL!K12)</f>
        <v/>
      </c>
      <c r="K3" s="6" t="str">
        <f>IF(PL!L12="","",PL!L12)</f>
        <v/>
      </c>
      <c r="L3" s="6" t="str">
        <f>IF(PL!M12="","",PL!M12)</f>
        <v/>
      </c>
      <c r="M3" s="6" t="str">
        <f>IF(PL!N12="","",PL!N12)</f>
        <v/>
      </c>
      <c r="N3" s="6" t="str">
        <f>IF(PL!O12="","",PL!O12)</f>
        <v/>
      </c>
      <c r="P3" s="6" t="str">
        <f>B3</f>
        <v>Wpływy</v>
      </c>
      <c r="Q3" s="6" t="str">
        <f>IF(C3="","",SUM(C3:N3))</f>
        <v/>
      </c>
    </row>
    <row r="4" spans="2:17" x14ac:dyDescent="0.25">
      <c r="B4" s="6" t="s">
        <v>73</v>
      </c>
      <c r="C4" s="6" t="str">
        <f>IF(PL!D31="","",PL!D31)</f>
        <v/>
      </c>
      <c r="D4" s="6" t="str">
        <f>IF(PL!E31="","",PL!E31)</f>
        <v/>
      </c>
      <c r="E4" s="6" t="str">
        <f>IF(PL!F31="","",PL!F31)</f>
        <v/>
      </c>
      <c r="F4" s="6" t="str">
        <f>IF(PL!G31="","",PL!G31)</f>
        <v/>
      </c>
      <c r="G4" s="6" t="str">
        <f>IF(PL!H31="","",PL!H31)</f>
        <v/>
      </c>
      <c r="H4" s="6" t="str">
        <f>IF(PL!I31="","",PL!I31)</f>
        <v/>
      </c>
      <c r="I4" s="6" t="str">
        <f>IF(PL!J31="","",PL!J31)</f>
        <v/>
      </c>
      <c r="J4" s="6" t="str">
        <f>IF(PL!K31="","",PL!K31)</f>
        <v/>
      </c>
      <c r="K4" s="6" t="str">
        <f>IF(PL!L31="","",PL!L31)</f>
        <v/>
      </c>
      <c r="L4" s="6" t="str">
        <f>IF(PL!M31="","",PL!M31)</f>
        <v/>
      </c>
      <c r="M4" s="6" t="str">
        <f>IF(PL!N31="","",PL!N31)</f>
        <v/>
      </c>
      <c r="N4" s="6" t="str">
        <f>IF(PL!O31="","",PL!O31)</f>
        <v/>
      </c>
      <c r="P4" s="6" t="str">
        <f t="shared" ref="P4:P5" si="1">B4</f>
        <v>Koszty</v>
      </c>
      <c r="Q4" s="6" t="str">
        <f>IF(C4="","",SUM(C4:N4))</f>
        <v/>
      </c>
    </row>
    <row r="5" spans="2:17" x14ac:dyDescent="0.25">
      <c r="B5" s="6" t="s">
        <v>74</v>
      </c>
      <c r="C5" s="6" t="str">
        <f>IFERROR(C3-C4,"")</f>
        <v/>
      </c>
      <c r="D5" s="6" t="str">
        <f t="shared" ref="D5:N5" si="2">IFERROR(D3-D4,"")</f>
        <v/>
      </c>
      <c r="E5" s="6" t="str">
        <f t="shared" si="2"/>
        <v/>
      </c>
      <c r="F5" s="6" t="str">
        <f t="shared" si="2"/>
        <v/>
      </c>
      <c r="G5" s="6" t="str">
        <f t="shared" si="2"/>
        <v/>
      </c>
      <c r="H5" s="6" t="str">
        <f t="shared" si="2"/>
        <v/>
      </c>
      <c r="I5" s="6" t="str">
        <f t="shared" si="2"/>
        <v/>
      </c>
      <c r="J5" s="6" t="str">
        <f t="shared" si="2"/>
        <v/>
      </c>
      <c r="K5" s="6" t="str">
        <f t="shared" si="2"/>
        <v/>
      </c>
      <c r="L5" s="6" t="str">
        <f t="shared" si="2"/>
        <v/>
      </c>
      <c r="M5" s="6" t="str">
        <f t="shared" si="2"/>
        <v/>
      </c>
      <c r="N5" s="6" t="str">
        <f t="shared" si="2"/>
        <v/>
      </c>
      <c r="P5" s="6" t="str">
        <f t="shared" si="1"/>
        <v>Zysk lub strata</v>
      </c>
      <c r="Q5" s="6" t="str">
        <f>IFERROR(Q3-Q4,"")</f>
        <v/>
      </c>
    </row>
    <row r="7" spans="2:17" x14ac:dyDescent="0.25">
      <c r="B7" s="16" t="s">
        <v>75</v>
      </c>
    </row>
    <row r="8" spans="2:17" x14ac:dyDescent="0.25">
      <c r="C8" s="16" t="str">
        <f>C2</f>
        <v/>
      </c>
      <c r="D8" s="16" t="str">
        <f t="shared" ref="D8:N8" si="3">D2</f>
        <v/>
      </c>
      <c r="E8" s="16" t="str">
        <f t="shared" si="3"/>
        <v/>
      </c>
      <c r="F8" s="16" t="str">
        <f t="shared" si="3"/>
        <v/>
      </c>
      <c r="G8" s="16" t="str">
        <f t="shared" si="3"/>
        <v/>
      </c>
      <c r="H8" s="16" t="str">
        <f t="shared" si="3"/>
        <v/>
      </c>
      <c r="I8" s="16" t="str">
        <f t="shared" si="3"/>
        <v/>
      </c>
      <c r="J8" s="16" t="str">
        <f t="shared" si="3"/>
        <v/>
      </c>
      <c r="K8" s="6" t="str">
        <f t="shared" si="3"/>
        <v/>
      </c>
      <c r="L8" s="6" t="str">
        <f t="shared" si="3"/>
        <v/>
      </c>
      <c r="M8" s="6" t="str">
        <f t="shared" si="3"/>
        <v/>
      </c>
      <c r="N8" s="6" t="str">
        <f t="shared" si="3"/>
        <v/>
      </c>
      <c r="P8" s="16" t="s">
        <v>80</v>
      </c>
    </row>
    <row r="9" spans="2:17" x14ac:dyDescent="0.25">
      <c r="B9" s="6" t="s">
        <v>50</v>
      </c>
      <c r="C9" s="6" t="str">
        <f>IF(PL!D16="","",PL!D16)</f>
        <v/>
      </c>
      <c r="D9" s="6" t="str">
        <f>IF(PL!E16="","",PL!E16)</f>
        <v/>
      </c>
      <c r="E9" s="6" t="str">
        <f>IF(PL!F16="","",PL!F16)</f>
        <v/>
      </c>
      <c r="F9" s="6" t="str">
        <f>IF(PL!G16="","",PL!G16)</f>
        <v/>
      </c>
      <c r="G9" s="6" t="str">
        <f>IF(PL!H16="","",PL!H16)</f>
        <v/>
      </c>
      <c r="H9" s="6" t="str">
        <f>IF(PL!I16="","",PL!I16)</f>
        <v/>
      </c>
      <c r="I9" s="6" t="str">
        <f>IF(PL!J16="","",PL!J16)</f>
        <v/>
      </c>
      <c r="J9" s="6" t="str">
        <f>IF(PL!K16="","",PL!K16)</f>
        <v/>
      </c>
      <c r="K9" s="6" t="str">
        <f>IF(PL!L16="","",PL!L16)</f>
        <v/>
      </c>
      <c r="L9" s="6" t="str">
        <f>IF(PL!M16="","",PL!M16)</f>
        <v/>
      </c>
      <c r="M9" s="6" t="str">
        <f>IF(PL!N16="","",PL!N16)</f>
        <v/>
      </c>
      <c r="N9" s="6" t="str">
        <f>IF(PL!O16="","",PL!O16)</f>
        <v/>
      </c>
      <c r="P9" s="6" t="str">
        <f>B9</f>
        <v>Czynsz</v>
      </c>
      <c r="Q9" s="6">
        <f>SUM(C9:N9)</f>
        <v>0</v>
      </c>
    </row>
    <row r="10" spans="2:17" x14ac:dyDescent="0.25">
      <c r="B10" s="6" t="s">
        <v>51</v>
      </c>
      <c r="C10" s="6" t="str">
        <f>IF(PL!D17="","",PL!D17)</f>
        <v/>
      </c>
      <c r="D10" s="6" t="str">
        <f>IF(PL!E17="","",PL!E17)</f>
        <v/>
      </c>
      <c r="E10" s="6" t="str">
        <f>IF(PL!F17="","",PL!F17)</f>
        <v/>
      </c>
      <c r="F10" s="6" t="str">
        <f>IF(PL!G17="","",PL!G17)</f>
        <v/>
      </c>
      <c r="G10" s="6" t="str">
        <f>IF(PL!H17="","",PL!H17)</f>
        <v/>
      </c>
      <c r="H10" s="6" t="str">
        <f>IF(PL!I17="","",PL!I17)</f>
        <v/>
      </c>
      <c r="I10" s="6" t="str">
        <f>IF(PL!J17="","",PL!J17)</f>
        <v/>
      </c>
      <c r="J10" s="6" t="str">
        <f>IF(PL!K17="","",PL!K17)</f>
        <v/>
      </c>
      <c r="K10" s="6" t="str">
        <f>IF(PL!L17="","",PL!L17)</f>
        <v/>
      </c>
      <c r="L10" s="6" t="str">
        <f>IF(PL!M17="","",PL!M17)</f>
        <v/>
      </c>
      <c r="M10" s="6" t="str">
        <f>IF(PL!N17="","",PL!N17)</f>
        <v/>
      </c>
      <c r="N10" s="6" t="str">
        <f>IF(PL!O17="","",PL!O17)</f>
        <v/>
      </c>
      <c r="P10" s="6" t="str">
        <f t="shared" ref="P10:P16" si="4">B10</f>
        <v>Prąd</v>
      </c>
      <c r="Q10" s="6">
        <f t="shared" ref="Q10:Q16" si="5">SUM(C10:N10)</f>
        <v>0</v>
      </c>
    </row>
    <row r="11" spans="2:17" x14ac:dyDescent="0.25">
      <c r="B11" s="6" t="s">
        <v>52</v>
      </c>
      <c r="C11" s="6" t="str">
        <f>IF(PL!D18="","",PL!D18)</f>
        <v/>
      </c>
      <c r="D11" s="6" t="str">
        <f>IF(PL!E18="","",PL!E18)</f>
        <v/>
      </c>
      <c r="E11" s="6" t="str">
        <f>IF(PL!F18="","",PL!F18)</f>
        <v/>
      </c>
      <c r="F11" s="6" t="str">
        <f>IF(PL!G18="","",PL!G18)</f>
        <v/>
      </c>
      <c r="G11" s="6" t="str">
        <f>IF(PL!H18="","",PL!H18)</f>
        <v/>
      </c>
      <c r="H11" s="6" t="str">
        <f>IF(PL!I18="","",PL!I18)</f>
        <v/>
      </c>
      <c r="I11" s="6" t="str">
        <f>IF(PL!J18="","",PL!J18)</f>
        <v/>
      </c>
      <c r="J11" s="6" t="str">
        <f>IF(PL!K18="","",PL!K18)</f>
        <v/>
      </c>
      <c r="K11" s="6" t="str">
        <f>IF(PL!L18="","",PL!L18)</f>
        <v/>
      </c>
      <c r="L11" s="6" t="str">
        <f>IF(PL!M18="","",PL!M18)</f>
        <v/>
      </c>
      <c r="M11" s="6" t="str">
        <f>IF(PL!N18="","",PL!N18)</f>
        <v/>
      </c>
      <c r="N11" s="6" t="str">
        <f>IF(PL!O18="","",PL!O18)</f>
        <v/>
      </c>
      <c r="P11" s="6" t="str">
        <f t="shared" si="4"/>
        <v>Gaz</v>
      </c>
      <c r="Q11" s="6">
        <f t="shared" si="5"/>
        <v>0</v>
      </c>
    </row>
    <row r="12" spans="2:17" x14ac:dyDescent="0.25">
      <c r="B12" s="6" t="s">
        <v>84</v>
      </c>
      <c r="C12" s="6" t="str">
        <f>IF(PL!D19="","",PL!D19)</f>
        <v/>
      </c>
      <c r="D12" s="6" t="str">
        <f>IF(PL!E19="","",PL!E19)</f>
        <v/>
      </c>
      <c r="E12" s="6" t="str">
        <f>IF(PL!F19="","",PL!F19)</f>
        <v/>
      </c>
      <c r="F12" s="6" t="str">
        <f>IF(PL!G19="","",PL!G19)</f>
        <v/>
      </c>
      <c r="G12" s="6" t="str">
        <f>IF(PL!H19="","",PL!H19)</f>
        <v/>
      </c>
      <c r="H12" s="6" t="str">
        <f>IF(PL!I19="","",PL!I19)</f>
        <v/>
      </c>
      <c r="I12" s="6" t="str">
        <f>IF(PL!J19="","",PL!J19)</f>
        <v/>
      </c>
      <c r="J12" s="6" t="str">
        <f>IF(PL!K19="","",PL!K19)</f>
        <v/>
      </c>
      <c r="K12" s="6" t="str">
        <f>IF(PL!L19="","",PL!L19)</f>
        <v/>
      </c>
      <c r="L12" s="6" t="str">
        <f>IF(PL!M19="","",PL!M19)</f>
        <v/>
      </c>
      <c r="M12" s="6" t="str">
        <f>IF(PL!N19="","",PL!N19)</f>
        <v/>
      </c>
      <c r="N12" s="6" t="str">
        <f>IF(PL!O19="","",PL!O19)</f>
        <v/>
      </c>
      <c r="P12" s="6" t="str">
        <f t="shared" si="4"/>
        <v>Internet i TV</v>
      </c>
      <c r="Q12" s="6">
        <f t="shared" si="5"/>
        <v>0</v>
      </c>
    </row>
    <row r="13" spans="2:17" x14ac:dyDescent="0.25">
      <c r="B13" s="6" t="s">
        <v>70</v>
      </c>
      <c r="C13" s="6" t="str">
        <f>IF(PL!D20="","",PL!D20)</f>
        <v/>
      </c>
      <c r="D13" s="6" t="str">
        <f>IF(PL!E20="","",PL!E20)</f>
        <v/>
      </c>
      <c r="E13" s="6" t="str">
        <f>IF(PL!F20="","",PL!F20)</f>
        <v/>
      </c>
      <c r="F13" s="6" t="str">
        <f>IF(PL!G20="","",PL!G20)</f>
        <v/>
      </c>
      <c r="G13" s="6" t="str">
        <f>IF(PL!H20="","",PL!H20)</f>
        <v/>
      </c>
      <c r="H13" s="6" t="str">
        <f>IF(PL!I20="","",PL!I20)</f>
        <v/>
      </c>
      <c r="I13" s="6" t="str">
        <f>IF(PL!J20="","",PL!J20)</f>
        <v/>
      </c>
      <c r="J13" s="6" t="str">
        <f>IF(PL!K20="","",PL!K20)</f>
        <v/>
      </c>
      <c r="K13" s="6" t="str">
        <f>IF(PL!L20="","",PL!L20)</f>
        <v/>
      </c>
      <c r="L13" s="6" t="str">
        <f>IF(PL!M20="","",PL!M20)</f>
        <v/>
      </c>
      <c r="M13" s="6" t="str">
        <f>IF(PL!N20="","",PL!N20)</f>
        <v/>
      </c>
      <c r="N13" s="6" t="str">
        <f>IF(PL!O20="","",PL!O20)</f>
        <v/>
      </c>
      <c r="P13" s="6" t="str">
        <f t="shared" si="4"/>
        <v>Kredyt</v>
      </c>
      <c r="Q13" s="6">
        <f t="shared" si="5"/>
        <v>0</v>
      </c>
    </row>
    <row r="14" spans="2:17" x14ac:dyDescent="0.25">
      <c r="B14" s="6" t="s">
        <v>76</v>
      </c>
      <c r="C14" s="6" t="str">
        <f>IF(PL!D23="","",PL!D23)</f>
        <v/>
      </c>
      <c r="D14" s="6" t="str">
        <f>IF(PL!E23="","",PL!E23)</f>
        <v/>
      </c>
      <c r="E14" s="6" t="str">
        <f>IF(PL!F23="","",PL!F23)</f>
        <v/>
      </c>
      <c r="F14" s="6" t="str">
        <f>IF(PL!G23="","",PL!G23)</f>
        <v/>
      </c>
      <c r="G14" s="6" t="str">
        <f>IF(PL!H23="","",PL!H23)</f>
        <v/>
      </c>
      <c r="H14" s="6" t="str">
        <f>IF(PL!I23="","",PL!I23)</f>
        <v/>
      </c>
      <c r="I14" s="6" t="str">
        <f>IF(PL!J23="","",PL!J23)</f>
        <v/>
      </c>
      <c r="J14" s="6" t="str">
        <f>IF(PL!K23="","",PL!K23)</f>
        <v/>
      </c>
      <c r="K14" s="6" t="str">
        <f>IF(PL!L23="","",PL!L23)</f>
        <v/>
      </c>
      <c r="L14" s="6" t="str">
        <f>IF(PL!M23="","",PL!M23)</f>
        <v/>
      </c>
      <c r="M14" s="6" t="str">
        <f>IF(PL!N23="","",PL!N23)</f>
        <v/>
      </c>
      <c r="N14" s="6" t="str">
        <f>IF(PL!O23="","",PL!O23)</f>
        <v/>
      </c>
      <c r="P14" s="6" t="str">
        <f t="shared" si="4"/>
        <v>Zakupy</v>
      </c>
      <c r="Q14" s="6">
        <f t="shared" si="5"/>
        <v>0</v>
      </c>
    </row>
    <row r="15" spans="2:17" x14ac:dyDescent="0.25">
      <c r="B15" s="6" t="s">
        <v>90</v>
      </c>
      <c r="C15" s="6" t="str">
        <f>IF(PL!D24="","",PL!D24)</f>
        <v/>
      </c>
      <c r="D15" s="6" t="str">
        <f>IF(PL!E24="","",PL!E24)</f>
        <v/>
      </c>
      <c r="E15" s="6" t="str">
        <f>IF(PL!F24="","",PL!F24)</f>
        <v/>
      </c>
      <c r="F15" s="6" t="str">
        <f>IF(PL!G24="","",PL!G24)</f>
        <v/>
      </c>
      <c r="G15" s="6" t="str">
        <f>IF(PL!H24="","",PL!H24)</f>
        <v/>
      </c>
      <c r="H15" s="6" t="str">
        <f>IF(PL!I24="","",PL!I24)</f>
        <v/>
      </c>
      <c r="I15" s="6" t="str">
        <f>IF(PL!J24="","",PL!J24)</f>
        <v/>
      </c>
      <c r="J15" s="6" t="str">
        <f>IF(PL!K24="","",PL!K24)</f>
        <v/>
      </c>
      <c r="P15" s="6" t="str">
        <f t="shared" si="4"/>
        <v>Zakupy specjalne</v>
      </c>
      <c r="Q15" s="6">
        <f t="shared" si="5"/>
        <v>0</v>
      </c>
    </row>
    <row r="16" spans="2:17" x14ac:dyDescent="0.25">
      <c r="B16" s="6" t="s">
        <v>55</v>
      </c>
      <c r="C16" s="6" t="str">
        <f>IF(PL!D29="","",PL!D29)</f>
        <v/>
      </c>
      <c r="D16" s="6" t="str">
        <f>IF(PL!E29="","",PL!E29)</f>
        <v/>
      </c>
      <c r="E16" s="6" t="str">
        <f>IF(PL!F29="","",PL!F29)</f>
        <v/>
      </c>
      <c r="F16" s="6" t="str">
        <f>IF(PL!G29="","",PL!G29)</f>
        <v/>
      </c>
      <c r="G16" s="6" t="str">
        <f>IF(PL!H29="","",PL!H29)</f>
        <v/>
      </c>
      <c r="H16" s="6" t="str">
        <f>IF(PL!I29="","",PL!I29)</f>
        <v/>
      </c>
      <c r="I16" s="6" t="str">
        <f>IF(PL!J29="","",PL!J29)</f>
        <v/>
      </c>
      <c r="J16" s="6" t="str">
        <f>IF(PL!K29="","",PL!K29)</f>
        <v/>
      </c>
      <c r="K16" s="6" t="str">
        <f>IF(PL!L24="","",PL!L24)</f>
        <v/>
      </c>
      <c r="L16" s="6" t="str">
        <f>IF(PL!M24="","",PL!M24)</f>
        <v/>
      </c>
      <c r="M16" s="6" t="str">
        <f>IF(PL!N24="","",PL!N24)</f>
        <v/>
      </c>
      <c r="N16" s="6" t="str">
        <f>IF(PL!O24="","",PL!O24)</f>
        <v/>
      </c>
      <c r="P16" s="6" t="str">
        <f t="shared" si="4"/>
        <v>Samochód</v>
      </c>
      <c r="Q16" s="6">
        <f t="shared" si="5"/>
        <v>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/>
      </c>
      <c r="D19" s="16" t="str">
        <f t="shared" ref="D19:N19" si="6">D2</f>
        <v/>
      </c>
      <c r="E19" s="16" t="str">
        <f t="shared" si="6"/>
        <v/>
      </c>
      <c r="F19" s="16" t="str">
        <f t="shared" si="6"/>
        <v/>
      </c>
      <c r="G19" s="16" t="str">
        <f t="shared" si="6"/>
        <v/>
      </c>
      <c r="H19" s="16" t="str">
        <f t="shared" si="6"/>
        <v/>
      </c>
      <c r="I19" s="16" t="str">
        <f t="shared" si="6"/>
        <v/>
      </c>
      <c r="J19" s="16" t="str">
        <f t="shared" si="6"/>
        <v/>
      </c>
      <c r="K19" s="6" t="str">
        <f t="shared" si="6"/>
        <v/>
      </c>
      <c r="L19" s="6" t="str">
        <f t="shared" si="6"/>
        <v/>
      </c>
      <c r="M19" s="6" t="str">
        <f t="shared" si="6"/>
        <v/>
      </c>
      <c r="N19" s="6" t="str">
        <f t="shared" si="6"/>
        <v/>
      </c>
      <c r="P19" s="16" t="s">
        <v>79</v>
      </c>
    </row>
    <row r="20" spans="2:18" x14ac:dyDescent="0.25">
      <c r="B20" s="6" t="s">
        <v>82</v>
      </c>
      <c r="C20" s="6" t="str">
        <f>IF(BS!D29="","",BS!D29)</f>
        <v/>
      </c>
      <c r="D20" s="6" t="str">
        <f>IF(BS!E29="","",BS!E29)</f>
        <v/>
      </c>
      <c r="E20" s="6" t="str">
        <f>IF(BS!F29="","",BS!F29)</f>
        <v/>
      </c>
      <c r="F20" s="6" t="str">
        <f>IF(BS!G29="","",BS!G29)</f>
        <v/>
      </c>
      <c r="G20" s="6" t="str">
        <f>IF(BS!H29="","",BS!H29)</f>
        <v/>
      </c>
      <c r="H20" s="6" t="str">
        <f>IF(BS!I29="","",BS!I29)</f>
        <v/>
      </c>
      <c r="I20" s="6" t="str">
        <f>IF(BS!J29="","",BS!J29)</f>
        <v/>
      </c>
      <c r="J20" s="6" t="str">
        <f>IF(BS!K29="","",BS!K29)</f>
        <v/>
      </c>
      <c r="K20" s="6" t="str">
        <f>IF(BS!L29="","",BS!L29)</f>
        <v/>
      </c>
      <c r="L20" s="6" t="str">
        <f>IF(BS!M29="","",BS!M29)</f>
        <v/>
      </c>
      <c r="M20" s="6" t="str">
        <f>IF(BS!N29="","",BS!N29)</f>
        <v/>
      </c>
      <c r="N20" s="6" t="str">
        <f>IF(BS!O29="","",BS!O29)</f>
        <v/>
      </c>
      <c r="P20" s="6" t="str">
        <f>B20</f>
        <v>Aktywa</v>
      </c>
      <c r="Q20" s="6" t="e" cm="1">
        <f t="array" ref="Q20">LOOKUP(2,1/(C20:N20&lt;&gt;""),C20:N20)</f>
        <v>#N/A</v>
      </c>
      <c r="R20" s="46" t="e">
        <f>Q20/(SUM(Q20:Q21))</f>
        <v>#N/A</v>
      </c>
    </row>
    <row r="21" spans="2:18" x14ac:dyDescent="0.25">
      <c r="B21" s="6" t="s">
        <v>83</v>
      </c>
      <c r="C21" s="6" t="str">
        <f>IF(BS!D33="","",BS!D33)</f>
        <v/>
      </c>
      <c r="D21" s="6" t="str">
        <f>IF(BS!E33="","",BS!E33)</f>
        <v/>
      </c>
      <c r="E21" s="6" t="str">
        <f>IF(BS!F33="","",BS!F33)</f>
        <v/>
      </c>
      <c r="F21" s="6" t="str">
        <f>IF(BS!G33="","",BS!G33)</f>
        <v/>
      </c>
      <c r="G21" s="6" t="str">
        <f>IF(BS!H33="","",BS!H33)</f>
        <v/>
      </c>
      <c r="H21" s="6" t="str">
        <f>IF(BS!I33="","",BS!I33)</f>
        <v/>
      </c>
      <c r="I21" s="6" t="str">
        <f>IF(BS!J33="","",BS!J33)</f>
        <v/>
      </c>
      <c r="J21" s="6" t="str">
        <f>IF(BS!K33="","",BS!K33)</f>
        <v/>
      </c>
      <c r="K21" s="6" t="str">
        <f>IF(BS!L33="","",BS!L33)</f>
        <v/>
      </c>
      <c r="L21" s="6" t="str">
        <f>IF(BS!M33="","",BS!M33)</f>
        <v/>
      </c>
      <c r="M21" s="6" t="str">
        <f>IF(BS!N33="","",BS!N33)</f>
        <v/>
      </c>
      <c r="N21" s="6" t="str">
        <f>IF(BS!O33="","",BS!O33)</f>
        <v/>
      </c>
      <c r="P21" s="6" t="str">
        <f t="shared" ref="P21:P22" si="7">B21</f>
        <v>Pasywa</v>
      </c>
      <c r="Q21" s="6" t="e" cm="1">
        <f t="array" ref="Q21">LOOKUP(2,1/(C21:N21&lt;&gt;""),C21:N21)</f>
        <v>#N/A</v>
      </c>
    </row>
    <row r="22" spans="2:18" x14ac:dyDescent="0.25">
      <c r="B22" s="6" t="s">
        <v>85</v>
      </c>
      <c r="C22" s="6" t="str">
        <f>IFERROR(C20-C21,"")</f>
        <v/>
      </c>
      <c r="D22" s="6" t="str">
        <f t="shared" ref="D22:N22" si="8">IFERROR(D20-D21,"")</f>
        <v/>
      </c>
      <c r="E22" s="6" t="str">
        <f t="shared" si="8"/>
        <v/>
      </c>
      <c r="F22" s="6" t="str">
        <f t="shared" si="8"/>
        <v/>
      </c>
      <c r="G22" s="6" t="str">
        <f t="shared" si="8"/>
        <v/>
      </c>
      <c r="H22" s="6" t="str">
        <f t="shared" si="8"/>
        <v/>
      </c>
      <c r="I22" s="6" t="str">
        <f t="shared" si="8"/>
        <v/>
      </c>
      <c r="J22" s="6" t="str">
        <f t="shared" si="8"/>
        <v/>
      </c>
      <c r="K22" s="6" t="str">
        <f t="shared" si="8"/>
        <v/>
      </c>
      <c r="L22" s="6" t="str">
        <f t="shared" si="8"/>
        <v/>
      </c>
      <c r="M22" s="6" t="str">
        <f t="shared" si="8"/>
        <v/>
      </c>
      <c r="N22" s="6" t="str">
        <f t="shared" si="8"/>
        <v/>
      </c>
      <c r="P22" s="6" t="str">
        <f t="shared" si="7"/>
        <v>Netto</v>
      </c>
      <c r="Q22" s="6" t="str">
        <f>IFERROR(Q20-Q21,"")</f>
        <v/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/>
      </c>
      <c r="D25" s="16" t="str">
        <f t="shared" ref="D25:N25" si="9">D2</f>
        <v/>
      </c>
      <c r="E25" s="16" t="str">
        <f t="shared" si="9"/>
        <v/>
      </c>
      <c r="F25" s="16" t="str">
        <f t="shared" si="9"/>
        <v/>
      </c>
      <c r="G25" s="16" t="str">
        <f t="shared" si="9"/>
        <v/>
      </c>
      <c r="H25" s="16" t="str">
        <f t="shared" si="9"/>
        <v/>
      </c>
      <c r="I25" s="16" t="str">
        <f t="shared" si="9"/>
        <v/>
      </c>
      <c r="J25" s="16" t="str">
        <f t="shared" si="9"/>
        <v/>
      </c>
      <c r="K25" s="6" t="str">
        <f t="shared" si="9"/>
        <v/>
      </c>
      <c r="L25" s="6" t="str">
        <f t="shared" si="9"/>
        <v/>
      </c>
      <c r="M25" s="6" t="str">
        <f t="shared" si="9"/>
        <v/>
      </c>
      <c r="N25" s="6" t="str">
        <f t="shared" si="9"/>
        <v/>
      </c>
      <c r="P25" s="16" t="s">
        <v>79</v>
      </c>
    </row>
    <row r="26" spans="2:18" x14ac:dyDescent="0.25">
      <c r="B26" s="6" t="s">
        <v>63</v>
      </c>
      <c r="C26" s="6" t="str">
        <f>IF(BS!D10="","",BS!D10)</f>
        <v/>
      </c>
      <c r="D26" s="6" t="str">
        <f>IF(BS!E10="","",BS!E10)</f>
        <v/>
      </c>
      <c r="E26" s="6" t="str">
        <f>IF(BS!F10="","",BS!F10)</f>
        <v/>
      </c>
      <c r="F26" s="6" t="str">
        <f>IF(BS!G10="","",BS!G10)</f>
        <v/>
      </c>
      <c r="G26" s="6" t="str">
        <f>IF(BS!H10="","",BS!H10)</f>
        <v/>
      </c>
      <c r="H26" s="6" t="str">
        <f>IF(BS!I10="","",BS!I10)</f>
        <v/>
      </c>
      <c r="I26" s="6" t="str">
        <f>IF(BS!J10="","",BS!J10)</f>
        <v/>
      </c>
      <c r="J26" s="6" t="str">
        <f>IF(BS!K10="","",BS!K10)</f>
        <v/>
      </c>
      <c r="K26" s="6" t="str">
        <f>IF(BS!L10="","",BS!L10)</f>
        <v/>
      </c>
      <c r="L26" s="6" t="str">
        <f>IF(BS!M10="","",BS!M10)</f>
        <v/>
      </c>
      <c r="M26" s="6" t="str">
        <f>IF(BS!N10="","",BS!N10)</f>
        <v/>
      </c>
      <c r="N26" s="6" t="str">
        <f>IF(BS!O10="","",BS!O10)</f>
        <v/>
      </c>
      <c r="P26" s="6" t="str">
        <f>B26</f>
        <v>Lokaty</v>
      </c>
      <c r="Q26" s="6" t="e" cm="1">
        <f t="array" ref="Q26">LOOKUP(2,1/(C26:N26&lt;&gt;""),C26:N26)</f>
        <v>#N/A</v>
      </c>
    </row>
    <row r="27" spans="2:18" x14ac:dyDescent="0.25">
      <c r="B27" s="6" t="s">
        <v>1</v>
      </c>
      <c r="C27" s="6" t="str">
        <f>IF(BS!D9="","",BS!D9)</f>
        <v/>
      </c>
      <c r="D27" s="6" t="str">
        <f>IF(BS!E9="","",BS!E9)</f>
        <v/>
      </c>
      <c r="E27" s="6" t="str">
        <f>IF(BS!F9="","",BS!F9)</f>
        <v/>
      </c>
      <c r="F27" s="6" t="str">
        <f>IF(BS!G9="","",BS!G9)</f>
        <v/>
      </c>
      <c r="G27" s="6" t="str">
        <f>IF(BS!H9="","",BS!H9)</f>
        <v/>
      </c>
      <c r="H27" s="6" t="str">
        <f>IF(BS!I9="","",BS!I9)</f>
        <v/>
      </c>
      <c r="I27" s="6" t="str">
        <f>IF(BS!J9="","",BS!J9)</f>
        <v/>
      </c>
      <c r="J27" s="6" t="str">
        <f>IF(BS!K9="","",BS!K9)</f>
        <v/>
      </c>
      <c r="K27" s="6" t="str">
        <f>IF(BS!L9="","",BS!L9)</f>
        <v/>
      </c>
      <c r="L27" s="6" t="str">
        <f>IF(BS!M9="","",BS!M9)</f>
        <v/>
      </c>
      <c r="M27" s="6" t="str">
        <f>IF(BS!N9="","",BS!N9)</f>
        <v/>
      </c>
      <c r="N27" s="6" t="str">
        <f>IF(BS!O9="","",BS!O9)</f>
        <v/>
      </c>
      <c r="P27" s="6" t="str">
        <f t="shared" ref="P27:P29" si="10">B27</f>
        <v>Oszczędności</v>
      </c>
      <c r="Q27" s="6" t="e" cm="1">
        <f t="array" ref="Q27">LOOKUP(2,1/(C27:N27&lt;&gt;""),C27:N27)</f>
        <v>#N/A</v>
      </c>
    </row>
    <row r="28" spans="2:18" x14ac:dyDescent="0.25">
      <c r="B28" s="6" t="s">
        <v>65</v>
      </c>
      <c r="C28" s="6">
        <f>IF(BS!D20="","",BS!D20)</f>
        <v>0</v>
      </c>
      <c r="D28" s="6">
        <f>IF(BS!E20="","",BS!E20)</f>
        <v>0</v>
      </c>
      <c r="E28" s="6">
        <f>IF(BS!F20="","",BS!F20)</f>
        <v>0</v>
      </c>
      <c r="F28" s="6">
        <f>IF(BS!G20="","",BS!G20)</f>
        <v>0</v>
      </c>
      <c r="G28" s="6">
        <f>IF(BS!H20="","",BS!H20)</f>
        <v>0</v>
      </c>
      <c r="H28" s="6">
        <f>IF(BS!I20="","",BS!I20)</f>
        <v>0</v>
      </c>
      <c r="I28" s="6">
        <f>IF(BS!J20="","",BS!J20)</f>
        <v>0</v>
      </c>
      <c r="J28" s="6">
        <f>IF(BS!K20="","",BS!K20)</f>
        <v>0</v>
      </c>
      <c r="K28" s="6" t="str">
        <f>IF(BS!L14="","",BS!L14)</f>
        <v/>
      </c>
      <c r="L28" s="6" t="str">
        <f>IF(BS!M14="","",BS!M14)</f>
        <v/>
      </c>
      <c r="M28" s="6" t="str">
        <f>IF(BS!N14="","",BS!N14)</f>
        <v/>
      </c>
      <c r="N28" s="6" t="str">
        <f>IF(BS!O14="","",BS!O14)</f>
        <v/>
      </c>
      <c r="P28" s="6" t="str">
        <f t="shared" si="10"/>
        <v>Fundusze</v>
      </c>
      <c r="Q28" s="6" cm="1">
        <f t="array" ref="Q28">LOOKUP(2,1/(C28:N28&lt;&gt;""),C28:N28)</f>
        <v>0</v>
      </c>
    </row>
    <row r="29" spans="2:18" x14ac:dyDescent="0.25">
      <c r="B29" s="6" t="s">
        <v>64</v>
      </c>
      <c r="C29" s="6" t="str">
        <f>IF(BS!D14="","",BS!D14)</f>
        <v/>
      </c>
      <c r="D29" s="6" t="str">
        <f>IF(BS!E14="","",BS!E14)</f>
        <v/>
      </c>
      <c r="E29" s="6" t="str">
        <f>IF(BS!F14="","",BS!F14)</f>
        <v/>
      </c>
      <c r="F29" s="6" t="str">
        <f>IF(BS!G14="","",BS!G14)</f>
        <v/>
      </c>
      <c r="G29" s="6" t="str">
        <f>IF(BS!H14="","",BS!H14)</f>
        <v/>
      </c>
      <c r="H29" s="6" t="str">
        <f>IF(BS!I14="","",BS!I14)</f>
        <v/>
      </c>
      <c r="I29" s="6" t="str">
        <f>IF(BS!J14="","",BS!J14)</f>
        <v/>
      </c>
      <c r="J29" s="6" t="str">
        <f>IF(BS!K14="","",BS!K14)</f>
        <v/>
      </c>
      <c r="K29" s="6" t="str">
        <f>IF(BS!L14="","",BS!L14)</f>
        <v/>
      </c>
      <c r="L29" s="6" t="str">
        <f>IF(BS!M14="","",BS!M14)</f>
        <v/>
      </c>
      <c r="M29" s="6" t="str">
        <f>IF(BS!N14="","",BS!N14)</f>
        <v/>
      </c>
      <c r="N29" s="6" t="str">
        <f>IF(BS!O14="","",BS!O14)</f>
        <v/>
      </c>
      <c r="P29" s="6" t="str">
        <f t="shared" si="10"/>
        <v>Akcje</v>
      </c>
      <c r="Q29" s="6" t="e" cm="1">
        <f t="array" ref="Q29">LOOKUP(2,1/(C29:N29&lt;&gt;""),C29:N29)</f>
        <v>#N/A</v>
      </c>
    </row>
    <row r="31" spans="2:18" x14ac:dyDescent="0.25">
      <c r="B31" s="6" t="s">
        <v>81</v>
      </c>
      <c r="C31" s="6" t="str">
        <f>IF(AND(BS!D9="",BS!D10=""),"",BS!D9+BS!D10)</f>
        <v/>
      </c>
      <c r="D31" s="6" t="str">
        <f>IF(AND(BS!E9="",BS!E10=""),"",BS!E9+BS!E10)</f>
        <v/>
      </c>
      <c r="E31" s="6" t="str">
        <f>IF(AND(BS!F9="",BS!F10=""),"",BS!F9+BS!F10)</f>
        <v/>
      </c>
      <c r="F31" s="6" t="str">
        <f>IF(AND(BS!G9="",BS!G10=""),"",BS!G9+BS!G10)</f>
        <v/>
      </c>
      <c r="G31" s="6" t="str">
        <f>IF(AND(BS!H9="",BS!H10=""),"",BS!H9+BS!H10)</f>
        <v/>
      </c>
      <c r="H31" s="6" t="str">
        <f>IF(AND(BS!I9="",BS!I10=""),"",BS!I9+BS!I10)</f>
        <v/>
      </c>
      <c r="I31" s="6" t="str">
        <f>IF(AND(BS!J9="",BS!J10=""),"",BS!J9+BS!J10)</f>
        <v/>
      </c>
      <c r="J31" s="6" t="str">
        <f>IF(AND(BS!K9="",BS!K10=""),"",BS!K9+BS!K10)</f>
        <v/>
      </c>
      <c r="K31" s="6" t="str">
        <f>IF(AND(BS!L9="",BS!L10=""),"",BS!L9+BS!L10)</f>
        <v/>
      </c>
      <c r="L31" s="6" t="str">
        <f>IF(AND(BS!M9="",BS!M10=""),"",BS!M9+BS!M10)</f>
        <v/>
      </c>
      <c r="M31" s="6" t="str">
        <f>IF(AND(BS!N9="",BS!N10=""),"",BS!N9+BS!N10)</f>
        <v/>
      </c>
      <c r="N31" s="6" t="str">
        <f>IF(AND(BS!O9="",BS!O10=""),"",BS!O9+BS!O10)</f>
        <v/>
      </c>
      <c r="P31" s="6" t="str">
        <f>B31</f>
        <v>Oszczędności i lokaty</v>
      </c>
      <c r="Q31" s="6" t="e" cm="1">
        <f t="array" ref="Q31">LOOKUP(2,1/(C31:N31&lt;&gt;""),C31:N31)</f>
        <v>#N/A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/>
  <dimension ref="A1:H21"/>
  <sheetViews>
    <sheetView showGridLines="0" tabSelected="1" workbookViewId="0">
      <selection activeCell="E45" sqref="E45"/>
    </sheetView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</sheetData>
  <conditionalFormatting sqref="B15">
    <cfRule type="containsText" dxfId="94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>
      <pane xSplit="2" topLeftCell="C1" activePane="topRight" state="frozen"/>
      <selection pane="topRight" activeCell="C1" sqref="C1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/>
      <c r="E8" s="14" t="str">
        <f>IF(D8="","",IF(E14&gt;D8,"REAL &gt; Wypłata!",""))</f>
        <v/>
      </c>
      <c r="H8" s="7"/>
      <c r="I8" s="14" t="str">
        <f>IF(H8="","",IF(I14&gt;H8,"REAL &gt; Wypłata!",""))</f>
        <v/>
      </c>
      <c r="J8" s="6"/>
      <c r="L8" s="7"/>
      <c r="M8" s="14" t="str">
        <f>IF(L8="","",IF(M14&gt;L8,"REAL &gt; Wypłata!",""))</f>
        <v/>
      </c>
      <c r="N8" s="6"/>
      <c r="P8" s="7"/>
      <c r="Q8" s="14" t="str">
        <f>IF(P8="","",IF(Q14&gt;P8,"REAL &gt; Wypłata!",""))</f>
        <v/>
      </c>
      <c r="R8" s="6"/>
      <c r="T8" s="7"/>
      <c r="U8" s="14" t="str">
        <f>IF(T8="","",IF(U14&gt;T8,"REAL &gt; Wypłata!",""))</f>
        <v/>
      </c>
      <c r="V8" s="6"/>
      <c r="X8" s="7"/>
      <c r="Y8" s="14" t="str">
        <f>IF(X8="","",IF(Y14&gt;X8,"REAL &gt; Wypłata!",""))</f>
        <v/>
      </c>
      <c r="Z8" s="6"/>
      <c r="AB8" s="7"/>
      <c r="AC8" s="14" t="str">
        <f>IF(AB8="","",IF(AC14&gt;AB8,"REAL &gt; Wypłata!",""))</f>
        <v/>
      </c>
      <c r="AD8" s="6"/>
      <c r="AF8" s="7"/>
      <c r="AG8" s="14" t="str">
        <f>IF(AF8="","",IF(AG14&gt;AF8,"REAL &gt; Wypłata!",""))</f>
        <v/>
      </c>
      <c r="AH8" s="6"/>
      <c r="AJ8" s="7"/>
      <c r="AK8" s="14" t="str">
        <f>IF(AJ8="","",IF(AK14&gt;AJ8,"REAL &gt; Wypłata!",""))</f>
        <v/>
      </c>
      <c r="AL8" s="6"/>
      <c r="AN8" s="7"/>
      <c r="AO8" s="14" t="str">
        <f>IF(AN8="","",IF(AO14&gt;AN8,"REAL &gt; Wypłata!",""))</f>
        <v/>
      </c>
      <c r="AP8" s="6"/>
      <c r="AR8" s="7"/>
      <c r="AS8" s="14" t="str">
        <f>IF(AR8="","",IF(AS14&gt;AR8,"REAL &gt; Wypłata!",""))</f>
        <v/>
      </c>
      <c r="AT8" s="6"/>
      <c r="AV8" s="7"/>
      <c r="AW8" s="14" t="str">
        <f>IF(AV8="","",IF(AW14&gt;AV8,"REAL &gt; Wypłata!",""))</f>
        <v/>
      </c>
      <c r="AX8" s="6"/>
      <c r="AZ8" s="15"/>
      <c r="BA8" s="6" t="str">
        <f>IF(D8="","",SUM(D8:AX8))</f>
        <v/>
      </c>
    </row>
    <row r="9" spans="2:56" x14ac:dyDescent="0.25">
      <c r="B9" t="s">
        <v>37</v>
      </c>
      <c r="D9" s="7"/>
      <c r="H9" s="7"/>
      <c r="I9" s="6"/>
      <c r="J9" s="6"/>
      <c r="L9" s="7"/>
      <c r="M9" s="6"/>
      <c r="N9" s="6"/>
      <c r="P9" s="7"/>
      <c r="Q9" s="6"/>
      <c r="R9" s="6"/>
      <c r="T9" s="7"/>
      <c r="U9" s="6"/>
      <c r="V9" s="6"/>
      <c r="X9" s="7"/>
      <c r="Y9" s="6"/>
      <c r="Z9" s="6"/>
      <c r="AB9" s="7"/>
      <c r="AC9" s="6"/>
      <c r="AD9" s="6"/>
      <c r="AF9" s="7"/>
      <c r="AG9" s="6"/>
      <c r="AH9" s="6"/>
      <c r="AJ9" s="7"/>
      <c r="AK9" s="6"/>
      <c r="AL9" s="6"/>
      <c r="AN9" s="7"/>
      <c r="AO9" s="6"/>
      <c r="AP9" s="6"/>
      <c r="AR9" s="7"/>
      <c r="AS9" s="6"/>
      <c r="AT9" s="6"/>
      <c r="AV9" s="7"/>
      <c r="AW9" s="6"/>
      <c r="AX9" s="6"/>
      <c r="AZ9" s="15"/>
      <c r="BA9" s="6" t="str">
        <f>IF(D9="","",SUM(D9:AX9))</f>
        <v/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 t="str">
        <f>IF(D8="","",D8*rate_home-D9)</f>
        <v/>
      </c>
      <c r="E12" s="10"/>
      <c r="F12" s="10" t="str">
        <f>IFERROR(IF(E12="","",E12-D12),"")</f>
        <v/>
      </c>
      <c r="H12" s="10" t="str">
        <f>IF(H8="","",H8*rate_home-H9)</f>
        <v/>
      </c>
      <c r="I12" s="10"/>
      <c r="J12" s="10" t="str">
        <f>IFERROR(IF(I12="","",I12-H12),"")</f>
        <v/>
      </c>
      <c r="L12" s="10" t="str">
        <f>IF(L8="","",L8*rate_home-L9)</f>
        <v/>
      </c>
      <c r="M12" s="10"/>
      <c r="N12" s="10" t="str">
        <f>IFERROR(IF(M12="","",M12-L12),"")</f>
        <v/>
      </c>
      <c r="P12" s="10" t="str">
        <f>IF(P8="","",P8*rate_home-P9)</f>
        <v/>
      </c>
      <c r="Q12" s="10"/>
      <c r="R12" s="10" t="str">
        <f>IFERROR(IF(Q12="","",Q12-P12),"")</f>
        <v/>
      </c>
      <c r="T12" s="10" t="str">
        <f>IF(T8="","",T8*rate_home-T9)</f>
        <v/>
      </c>
      <c r="U12" s="10"/>
      <c r="V12" s="10" t="str">
        <f>IFERROR(IF(U12="","",U12-T12),"")</f>
        <v/>
      </c>
      <c r="X12" s="10" t="str">
        <f>IF(X8="","",X8*rate_home-X9)</f>
        <v/>
      </c>
      <c r="Y12" s="10"/>
      <c r="Z12" s="10" t="str">
        <f>IFERROR(IF(Y12="","",Y12-X12),"")</f>
        <v/>
      </c>
      <c r="AB12" s="10" t="str">
        <f>IF(AB8="","",AB8*rate_home-AB9)</f>
        <v/>
      </c>
      <c r="AC12" s="10"/>
      <c r="AD12" s="10" t="str">
        <f>IFERROR(IF(AC12="","",AC12-AB12),"")</f>
        <v/>
      </c>
      <c r="AF12" s="10" t="str">
        <f>IF(AF8="","",AF8*rate_home-AF9)</f>
        <v/>
      </c>
      <c r="AG12" s="10"/>
      <c r="AH12" s="10" t="str">
        <f>IFERROR(IF(AG12="","",AG12-AF12),"")</f>
        <v/>
      </c>
      <c r="AJ12" s="10" t="str">
        <f>IF(AJ8="","",AJ8*rate_home-AJ9)</f>
        <v/>
      </c>
      <c r="AK12" s="10"/>
      <c r="AL12" s="10" t="str">
        <f>IFERROR(IF(AK12="","",AK12-AJ12),"")</f>
        <v/>
      </c>
      <c r="AN12" s="10" t="str">
        <f>IF(AN8="","",AN8*rate_home-AN9)</f>
        <v/>
      </c>
      <c r="AO12" s="10"/>
      <c r="AP12" s="10" t="str">
        <f>IFERROR(IF(AO12="","",AO12-AN12),"")</f>
        <v/>
      </c>
      <c r="AR12" s="10" t="str">
        <f>IF(AR8="","",AR8*rate_home-AR9)</f>
        <v/>
      </c>
      <c r="AS12" s="10"/>
      <c r="AT12" s="10" t="str">
        <f>IFERROR(IF(AS12="","",AS12-AR12),"")</f>
        <v/>
      </c>
      <c r="AV12" s="10" t="str">
        <f>IF(AV8="","",AV8*rate_home-AV9)</f>
        <v/>
      </c>
      <c r="AW12" s="10"/>
      <c r="AX12" s="10" t="str">
        <f>IFERROR(IF(AW12="","",AW12-AV12),"")</f>
        <v/>
      </c>
      <c r="AZ12" s="15"/>
      <c r="BA12" s="10" t="str">
        <f>IF(D12="","",SUM(D12,H12,L12,P12,T12,X12,AB12,AF12,AJ12,AN12,AR12,AV12))</f>
        <v/>
      </c>
      <c r="BB12" s="10" t="str">
        <f>IF(E12="","",SUM(E12,I12,M12,Q12,U12,Y12,AC12,AG12,AK12,AO12,AS12,AW12))</f>
        <v/>
      </c>
      <c r="BC12" s="10" t="str">
        <f>IFERROR(IF(BB12="","",BB12-BA12),"")</f>
        <v/>
      </c>
    </row>
    <row r="13" spans="2:56" x14ac:dyDescent="0.25">
      <c r="B13" t="s">
        <v>1</v>
      </c>
      <c r="D13" s="10" t="str">
        <f>IF(D8="","",D8*rate_savings)</f>
        <v/>
      </c>
      <c r="E13" s="10"/>
      <c r="F13" s="10" t="str">
        <f>IFERROR(IF(E13="","",E13-D13),"")</f>
        <v/>
      </c>
      <c r="H13" s="10" t="str">
        <f>IF(H8="","",H8*rate_savings)</f>
        <v/>
      </c>
      <c r="I13" s="10"/>
      <c r="J13" s="10" t="str">
        <f>IFERROR(IF(I13="","",I13-H13),"")</f>
        <v/>
      </c>
      <c r="L13" s="10" t="str">
        <f>IF(L8="","",L8*rate_savings)</f>
        <v/>
      </c>
      <c r="M13" s="10"/>
      <c r="N13" s="10" t="str">
        <f>IFERROR(IF(M13="","",M13-L13),"")</f>
        <v/>
      </c>
      <c r="P13" s="10" t="str">
        <f>IF(P8="","",P8*rate_savings)</f>
        <v/>
      </c>
      <c r="Q13" s="10"/>
      <c r="R13" s="10" t="str">
        <f>IFERROR(IF(Q13="","",Q13-P13),"")</f>
        <v/>
      </c>
      <c r="T13" s="10" t="str">
        <f>IF(T8="","",T8*rate_savings)</f>
        <v/>
      </c>
      <c r="U13" s="10"/>
      <c r="V13" s="10" t="str">
        <f>IFERROR(IF(U13="","",U13-T13),"")</f>
        <v/>
      </c>
      <c r="X13" s="10" t="str">
        <f>IF(X8="","",X8*rate_savings)</f>
        <v/>
      </c>
      <c r="Y13" s="10"/>
      <c r="Z13" s="10" t="str">
        <f>IFERROR(IF(Y13="","",Y13-X13),"")</f>
        <v/>
      </c>
      <c r="AB13" s="10" t="str">
        <f>IF(AB8="","",AB8*rate_savings)</f>
        <v/>
      </c>
      <c r="AC13" s="10"/>
      <c r="AD13" s="10" t="str">
        <f>IFERROR(IF(AC13="","",AC13-AB13),"")</f>
        <v/>
      </c>
      <c r="AF13" s="10" t="str">
        <f>IF(AF8="","",AF8*rate_savings)</f>
        <v/>
      </c>
      <c r="AG13" s="10"/>
      <c r="AH13" s="10" t="str">
        <f>IFERROR(IF(AG13="","",AG13-AF13),"")</f>
        <v/>
      </c>
      <c r="AJ13" s="10" t="str">
        <f>IF(AJ8="","",AJ8*rate_savings)</f>
        <v/>
      </c>
      <c r="AK13" s="10"/>
      <c r="AL13" s="10" t="str">
        <f>IFERROR(IF(AK13="","",AK13-AJ13),"")</f>
        <v/>
      </c>
      <c r="AN13" s="10" t="str">
        <f>IF(AN8="","",AN8*rate_savings)</f>
        <v/>
      </c>
      <c r="AO13" s="10"/>
      <c r="AP13" s="10" t="str">
        <f>IFERROR(IF(AO13="","",AO13-AN13),"")</f>
        <v/>
      </c>
      <c r="AR13" s="10" t="str">
        <f>IF(AR8="","",AR8*rate_savings)</f>
        <v/>
      </c>
      <c r="AS13" s="10"/>
      <c r="AT13" s="10" t="str">
        <f>IFERROR(IF(AS13="","",AS13-AR13),"")</f>
        <v/>
      </c>
      <c r="AV13" s="10" t="str">
        <f>IF(AV8="","",AV8*rate_savings)</f>
        <v/>
      </c>
      <c r="AW13" s="10"/>
      <c r="AX13" s="10" t="str">
        <f>IFERROR(IF(AW13="","",AW13-AV13),"")</f>
        <v/>
      </c>
      <c r="AZ13" s="15"/>
      <c r="BA13" s="10" t="str">
        <f>IF(D13="","",SUM(D13,H13,L13,P13,T13,X13,AB13,AF13,AJ13,AN13,AR13,AV13))</f>
        <v/>
      </c>
      <c r="BB13" s="10" t="str">
        <f>IF(E13="","",SUM(E13,I13,M13,Q13,U13,Y13,AC13,AG13,AK13,AO13,AS13,AW13))</f>
        <v/>
      </c>
      <c r="BC13" s="10" t="str">
        <f>IFERROR(IF(BB13="","",BB13-BA13),"")</f>
        <v/>
      </c>
    </row>
    <row r="14" spans="2:56" x14ac:dyDescent="0.25">
      <c r="B14" t="s">
        <v>2</v>
      </c>
      <c r="D14" s="10" t="str">
        <f>IF(D8="","",D8*rate_fun)</f>
        <v/>
      </c>
      <c r="E14" s="13">
        <f>SUM(E12:E13)</f>
        <v>0</v>
      </c>
      <c r="F14" s="11"/>
      <c r="H14" s="10" t="str">
        <f>IF(H8="","",H8*rate_fun)</f>
        <v/>
      </c>
      <c r="I14" s="13">
        <f>SUM(I12:I13)</f>
        <v>0</v>
      </c>
      <c r="J14" s="11"/>
      <c r="L14" s="10" t="str">
        <f>IF(L8="","",L8*rate_fun)</f>
        <v/>
      </c>
      <c r="M14" s="13">
        <f>SUM(M12:M13)</f>
        <v>0</v>
      </c>
      <c r="N14" s="11"/>
      <c r="P14" s="10" t="str">
        <f>IF(P8="","",P8*rate_fun)</f>
        <v/>
      </c>
      <c r="Q14" s="13">
        <f>SUM(Q12:Q13)</f>
        <v>0</v>
      </c>
      <c r="R14" s="11"/>
      <c r="T14" s="10" t="str">
        <f>IF(T8="","",T8*rate_fun)</f>
        <v/>
      </c>
      <c r="U14" s="13">
        <f>SUM(U12:U13)</f>
        <v>0</v>
      </c>
      <c r="V14" s="11"/>
      <c r="X14" s="10" t="str">
        <f>IF(X8="","",X8*rate_fun)</f>
        <v/>
      </c>
      <c r="Y14" s="13">
        <f>SUM(Y12:Y13)</f>
        <v>0</v>
      </c>
      <c r="Z14" s="11"/>
      <c r="AB14" s="10" t="str">
        <f>IF(AB8="","",AB8*rate_fun)</f>
        <v/>
      </c>
      <c r="AC14" s="13">
        <f>SUM(AC12:AC13)</f>
        <v>0</v>
      </c>
      <c r="AD14" s="11"/>
      <c r="AF14" s="10" t="str">
        <f>IF(AF8="","",AF8*rate_fun)</f>
        <v/>
      </c>
      <c r="AG14" s="13">
        <f>SUM(AG12:AG13)</f>
        <v>0</v>
      </c>
      <c r="AH14" s="11"/>
      <c r="AJ14" s="10" t="str">
        <f>IF(AJ8="","",AJ8*rate_fun)</f>
        <v/>
      </c>
      <c r="AK14" s="13">
        <f>SUM(AK12:AK13)</f>
        <v>0</v>
      </c>
      <c r="AL14" s="11"/>
      <c r="AN14" s="10" t="str">
        <f>IF(AN8="","",AN8*rate_fun)</f>
        <v/>
      </c>
      <c r="AO14" s="13">
        <f>SUM(AO12:AO13)</f>
        <v>0</v>
      </c>
      <c r="AP14" s="11"/>
      <c r="AR14" s="10" t="str">
        <f>IF(AR8="","",AR8*rate_fun)</f>
        <v/>
      </c>
      <c r="AS14" s="13">
        <f>SUM(AS12:AS13)</f>
        <v>0</v>
      </c>
      <c r="AT14" s="11"/>
      <c r="AV14" s="10" t="str">
        <f>IF(AV8="","",AV8*rate_fun)</f>
        <v/>
      </c>
      <c r="AW14" s="13">
        <f>SUM(AW12:AW13)</f>
        <v>0</v>
      </c>
      <c r="AX14" s="11"/>
      <c r="AZ14" s="15"/>
      <c r="BA14" s="10" t="str">
        <f>IF(D14="","",SUM(D14,H14,L14,P14,T14,X14,AB14,AF14,AJ14,AN14,AR14,AV14))</f>
        <v/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/>
      <c r="E18" s="14" t="str">
        <f>IF(D18="","",IF(E24&gt;D18,"REAL &gt; Wypłata!",""))</f>
        <v/>
      </c>
      <c r="H18" s="7"/>
      <c r="I18" s="14" t="str">
        <f>IF(H18="","",IF(I24&gt;H18,"REAL &gt; Wypłata!",""))</f>
        <v/>
      </c>
      <c r="J18" s="6"/>
      <c r="L18" s="7"/>
      <c r="M18" s="14" t="str">
        <f>IF(L18="","",IF(M24&gt;L18,"REAL &gt; Wypłata!",""))</f>
        <v/>
      </c>
      <c r="N18" s="6"/>
      <c r="P18" s="7"/>
      <c r="Q18" s="14" t="str">
        <f>IF(P18="","",IF(Q24&gt;P18,"REAL &gt; Wypłata!",""))</f>
        <v/>
      </c>
      <c r="R18" s="6"/>
      <c r="T18" s="7"/>
      <c r="U18" s="14" t="str">
        <f>IF(T18="","",IF(U24&gt;T18,"REAL &gt; Wypłata!",""))</f>
        <v/>
      </c>
      <c r="V18" s="6"/>
      <c r="X18" s="7"/>
      <c r="Y18" s="14" t="str">
        <f>IF(X18="","",IF(Y24&gt;X18,"REAL &gt; Wypłata!",""))</f>
        <v/>
      </c>
      <c r="Z18" s="6"/>
      <c r="AB18" s="7"/>
      <c r="AC18" s="14" t="str">
        <f>IF(AB18="","",IF(AC24&gt;AB18,"REAL &gt; Wypłata!",""))</f>
        <v/>
      </c>
      <c r="AD18" s="6"/>
      <c r="AF18" s="7"/>
      <c r="AG18" s="14" t="str">
        <f>IF(AF18="","",IF(AG24&gt;AF18,"REAL &gt; Wypłata!",""))</f>
        <v/>
      </c>
      <c r="AH18" s="6"/>
      <c r="AJ18" s="7"/>
      <c r="AK18" s="14" t="str">
        <f>IF(AJ18="","",IF(AK24&gt;AJ18,"REAL &gt; Wypłata!",""))</f>
        <v/>
      </c>
      <c r="AL18" s="6"/>
      <c r="AN18" s="7"/>
      <c r="AO18" s="14" t="str">
        <f>IF(AN18="","",IF(AO24&gt;AN18,"REAL &gt; Wypłata!",""))</f>
        <v/>
      </c>
      <c r="AP18" s="6"/>
      <c r="AR18" s="7"/>
      <c r="AS18" s="14" t="str">
        <f>IF(AR18="","",IF(AS24&gt;AR18,"REAL &gt; Wypłata!",""))</f>
        <v/>
      </c>
      <c r="AT18" s="6"/>
      <c r="AV18" s="7"/>
      <c r="AW18" s="14" t="str">
        <f>IF(AV18="","",IF(AW24&gt;AV18,"REAL &gt; Wypłata!",""))</f>
        <v/>
      </c>
      <c r="AX18" s="6"/>
      <c r="AZ18" s="15"/>
      <c r="BA18" s="6" t="str">
        <f>IF(D18="","",SUM(D18:AX18))</f>
        <v/>
      </c>
    </row>
    <row r="19" spans="2:55" x14ac:dyDescent="0.25">
      <c r="B19" s="4" t="s">
        <v>37</v>
      </c>
      <c r="D19" s="7"/>
      <c r="H19" s="7"/>
      <c r="I19" s="6"/>
      <c r="J19" s="6"/>
      <c r="L19" s="7"/>
      <c r="M19" s="6"/>
      <c r="N19" s="6"/>
      <c r="P19" s="7"/>
      <c r="Q19" s="6"/>
      <c r="R19" s="6"/>
      <c r="T19" s="7"/>
      <c r="U19" s="6"/>
      <c r="V19" s="6"/>
      <c r="X19" s="7"/>
      <c r="Y19" s="6"/>
      <c r="Z19" s="6"/>
      <c r="AB19" s="7"/>
      <c r="AC19" s="6"/>
      <c r="AD19" s="6"/>
      <c r="AF19" s="7"/>
      <c r="AG19" s="6"/>
      <c r="AH19" s="6"/>
      <c r="AJ19" s="7"/>
      <c r="AK19" s="6"/>
      <c r="AL19" s="6"/>
      <c r="AN19" s="7"/>
      <c r="AO19" s="6"/>
      <c r="AP19" s="6"/>
      <c r="AR19" s="7"/>
      <c r="AS19" s="6"/>
      <c r="AT19" s="6"/>
      <c r="AV19" s="7"/>
      <c r="AW19" s="6"/>
      <c r="AX19" s="6"/>
      <c r="AZ19" s="15"/>
      <c r="BA19" s="6" t="str">
        <f>IF(D19="","",SUM(D19:AX19))</f>
        <v/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 t="str">
        <f>IF(D18="","",D18*rate_home-D19)</f>
        <v/>
      </c>
      <c r="E22" s="10"/>
      <c r="F22" s="10" t="str">
        <f>IFERROR(IF(E22="","",E22-D22),"")</f>
        <v/>
      </c>
      <c r="H22" s="10" t="str">
        <f>IF(H18="","",H18*rate_home-H19)</f>
        <v/>
      </c>
      <c r="I22" s="10"/>
      <c r="J22" s="10" t="str">
        <f>IFERROR(IF(I22="","",I22-H22),"")</f>
        <v/>
      </c>
      <c r="L22" s="10" t="str">
        <f>IF(L18="","",L18*rate_home-L19)</f>
        <v/>
      </c>
      <c r="M22" s="10"/>
      <c r="N22" s="10" t="str">
        <f>IFERROR(IF(M22="","",M22-L22),"")</f>
        <v/>
      </c>
      <c r="P22" s="10" t="str">
        <f>IF(P18="","",P18*rate_home-P19)</f>
        <v/>
      </c>
      <c r="Q22" s="10"/>
      <c r="R22" s="10" t="str">
        <f>IFERROR(IF(Q22="","",Q22-P22),"")</f>
        <v/>
      </c>
      <c r="T22" s="10" t="str">
        <f>IF(T18="","",T18*rate_home-T19)</f>
        <v/>
      </c>
      <c r="U22" s="10"/>
      <c r="V22" s="10" t="str">
        <f>IFERROR(IF(U22="","",U22-T22),"")</f>
        <v/>
      </c>
      <c r="X22" s="10" t="str">
        <f>IF(X18="","",X18*rate_home-X19)</f>
        <v/>
      </c>
      <c r="Y22" s="10"/>
      <c r="Z22" s="10" t="str">
        <f>IFERROR(IF(Y22="","",Y22-X22),"")</f>
        <v/>
      </c>
      <c r="AB22" s="10" t="str">
        <f>IF(AB18="","",AB18*rate_home-AB19)</f>
        <v/>
      </c>
      <c r="AC22" s="10"/>
      <c r="AD22" s="10" t="str">
        <f>IFERROR(IF(AC22="","",AC22-AB22),"")</f>
        <v/>
      </c>
      <c r="AF22" s="10" t="str">
        <f>IF(AF18="","",AF18*rate_home-AF19)</f>
        <v/>
      </c>
      <c r="AG22" s="10"/>
      <c r="AH22" s="10" t="str">
        <f>IFERROR(IF(AG22="","",AG22-AF22),"")</f>
        <v/>
      </c>
      <c r="AJ22" s="10" t="str">
        <f>IF(AJ18="","",AJ18*rate_home-AJ19)</f>
        <v/>
      </c>
      <c r="AK22" s="10"/>
      <c r="AL22" s="10" t="str">
        <f>IFERROR(IF(AK22="","",AK22-AJ22),"")</f>
        <v/>
      </c>
      <c r="AN22" s="10" t="str">
        <f>IF(AN18="","",AN18*rate_home-AN19)</f>
        <v/>
      </c>
      <c r="AO22" s="10"/>
      <c r="AP22" s="10" t="str">
        <f>IFERROR(IF(AO22="","",AO22-AN22),"")</f>
        <v/>
      </c>
      <c r="AR22" s="10" t="str">
        <f>IF(AR18="","",AR18*rate_home-AR19)</f>
        <v/>
      </c>
      <c r="AS22" s="10"/>
      <c r="AT22" s="10" t="str">
        <f>IFERROR(IF(AS22="","",AS22-AR22),"")</f>
        <v/>
      </c>
      <c r="AV22" s="10" t="str">
        <f>IF(AV18="","",AV18*rate_home-AV19)</f>
        <v/>
      </c>
      <c r="AW22" s="10"/>
      <c r="AX22" s="10" t="str">
        <f>IFERROR(IF(AW22="","",AW22-AV22),"")</f>
        <v/>
      </c>
      <c r="AZ22" s="15"/>
      <c r="BA22" s="10" t="str">
        <f>IF(D22="","",SUM(D22,H22,L22,P22,T22,X22,AB22,AF22,AJ22,AN22,AR22,AV22))</f>
        <v/>
      </c>
      <c r="BB22" s="10" t="str">
        <f>IF(E22="","",SUM(E22,I22,M22,Q22,U22,Y22,AC22,AG22,AK22,AO22,AS22,AW22))</f>
        <v/>
      </c>
      <c r="BC22" s="10" t="str">
        <f>IFERROR(IF(BB22="","",BB22-BA22),"")</f>
        <v/>
      </c>
    </row>
    <row r="23" spans="2:55" x14ac:dyDescent="0.25">
      <c r="B23" t="s">
        <v>1</v>
      </c>
      <c r="D23" s="10" t="str">
        <f>IF(D18="","",D18*rate_savings)</f>
        <v/>
      </c>
      <c r="E23" s="10"/>
      <c r="F23" s="10" t="str">
        <f>IFERROR(IF(E23="","",E23-D23),"")</f>
        <v/>
      </c>
      <c r="H23" s="10" t="str">
        <f>IF(H18="","",H18*rate_savings)</f>
        <v/>
      </c>
      <c r="I23" s="10"/>
      <c r="J23" s="10" t="str">
        <f>IFERROR(IF(I23="","",I23-H23),"")</f>
        <v/>
      </c>
      <c r="L23" s="10" t="str">
        <f>IF(L18="","",L18*rate_savings)</f>
        <v/>
      </c>
      <c r="M23" s="10"/>
      <c r="N23" s="10" t="str">
        <f>IFERROR(IF(M23="","",M23-L23),"")</f>
        <v/>
      </c>
      <c r="P23" s="10" t="str">
        <f>IF(P18="","",P18*rate_savings)</f>
        <v/>
      </c>
      <c r="Q23" s="10"/>
      <c r="R23" s="10" t="str">
        <f>IFERROR(IF(Q23="","",Q23-P23),"")</f>
        <v/>
      </c>
      <c r="T23" s="10" t="str">
        <f>IF(T18="","",T18*rate_savings)</f>
        <v/>
      </c>
      <c r="U23" s="10"/>
      <c r="V23" s="10" t="str">
        <f>IFERROR(IF(U23="","",U23-T23),"")</f>
        <v/>
      </c>
      <c r="X23" s="10" t="str">
        <f>IF(X18="","",X18*rate_savings)</f>
        <v/>
      </c>
      <c r="Y23" s="10"/>
      <c r="Z23" s="10" t="str">
        <f>IFERROR(IF(Y23="","",Y23-X23),"")</f>
        <v/>
      </c>
      <c r="AB23" s="10" t="str">
        <f>IF(AB18="","",AB18*rate_savings)</f>
        <v/>
      </c>
      <c r="AC23" s="10"/>
      <c r="AD23" s="10" t="str">
        <f>IFERROR(IF(AC23="","",AC23-AB23),"")</f>
        <v/>
      </c>
      <c r="AF23" s="10" t="str">
        <f>IF(AF18="","",AF18*rate_savings)</f>
        <v/>
      </c>
      <c r="AG23" s="10"/>
      <c r="AH23" s="10" t="str">
        <f>IFERROR(IF(AG23="","",AG23-AF23),"")</f>
        <v/>
      </c>
      <c r="AJ23" s="10" t="str">
        <f>IF(AJ18="","",AJ18*rate_savings)</f>
        <v/>
      </c>
      <c r="AK23" s="10"/>
      <c r="AL23" s="10" t="str">
        <f>IFERROR(IF(AK23="","",AK23-AJ23),"")</f>
        <v/>
      </c>
      <c r="AN23" s="10" t="str">
        <f>IF(AN18="","",AN18*rate_savings)</f>
        <v/>
      </c>
      <c r="AO23" s="10"/>
      <c r="AP23" s="10" t="str">
        <f>IFERROR(IF(AO23="","",AO23-AN23),"")</f>
        <v/>
      </c>
      <c r="AR23" s="10" t="str">
        <f>IF(AR18="","",AR18*rate_savings)</f>
        <v/>
      </c>
      <c r="AS23" s="10"/>
      <c r="AT23" s="10" t="str">
        <f>IFERROR(IF(AS23="","",AS23-AR23),"")</f>
        <v/>
      </c>
      <c r="AV23" s="10" t="str">
        <f>IF(AV18="","",AV18*rate_savings)</f>
        <v/>
      </c>
      <c r="AW23" s="10"/>
      <c r="AX23" s="10" t="str">
        <f>IFERROR(IF(AW23="","",AW23-AV23),"")</f>
        <v/>
      </c>
      <c r="AZ23" s="15"/>
      <c r="BA23" s="10" t="str">
        <f>IF(D23="","",SUM(D23,H23,L23,P23,T23,X23,AB23,AF23,AJ23,AN23,AR23,AV23))</f>
        <v/>
      </c>
      <c r="BB23" s="10" t="str">
        <f>IF(E23="","",SUM(E23,I23,M23,Q23,U23,Y23,AC23,AG23,AK23,AO23,AS23,AW23))</f>
        <v/>
      </c>
      <c r="BC23" s="10" t="str">
        <f>IFERROR(IF(BB23="","",BB23-BA23),"")</f>
        <v/>
      </c>
    </row>
    <row r="24" spans="2:55" x14ac:dyDescent="0.25">
      <c r="B24" t="s">
        <v>2</v>
      </c>
      <c r="D24" s="10" t="str">
        <f>IF(D18="","",D18*rate_fun)</f>
        <v/>
      </c>
      <c r="E24" s="13">
        <f>SUM(E22:E23)</f>
        <v>0</v>
      </c>
      <c r="F24" s="11"/>
      <c r="H24" s="10" t="str">
        <f>IF(H18="","",H18*rate_fun)</f>
        <v/>
      </c>
      <c r="I24" s="13">
        <f>SUM(I22:I23)</f>
        <v>0</v>
      </c>
      <c r="J24" s="11"/>
      <c r="L24" s="10" t="str">
        <f>IF(L18="","",L18*rate_fun)</f>
        <v/>
      </c>
      <c r="M24" s="13">
        <f>SUM(M22:M23)</f>
        <v>0</v>
      </c>
      <c r="N24" s="11"/>
      <c r="P24" s="10" t="str">
        <f>IF(P18="","",P18*rate_fun)</f>
        <v/>
      </c>
      <c r="Q24" s="13">
        <f>SUM(Q22:Q23)</f>
        <v>0</v>
      </c>
      <c r="R24" s="11"/>
      <c r="T24" s="10" t="str">
        <f>IF(T18="","",T18*rate_fun)</f>
        <v/>
      </c>
      <c r="U24" s="13">
        <f>SUM(U22:U23)</f>
        <v>0</v>
      </c>
      <c r="V24" s="11"/>
      <c r="X24" s="10" t="str">
        <f>IF(X18="","",X18*rate_fun)</f>
        <v/>
      </c>
      <c r="Y24" s="13">
        <f>SUM(Y22:Y23)</f>
        <v>0</v>
      </c>
      <c r="Z24" s="11"/>
      <c r="AB24" s="10" t="str">
        <f>IF(AB18="","",AB18*rate_fun)</f>
        <v/>
      </c>
      <c r="AC24" s="13">
        <f>SUM(AC22:AC23)</f>
        <v>0</v>
      </c>
      <c r="AD24" s="11"/>
      <c r="AF24" s="10" t="str">
        <f>IF(AF18="","",AF18*rate_fun)</f>
        <v/>
      </c>
      <c r="AG24" s="13">
        <f>SUM(AG22:AG23)</f>
        <v>0</v>
      </c>
      <c r="AH24" s="11"/>
      <c r="AJ24" s="10" t="str">
        <f>IF(AJ18="","",AJ18*rate_fun)</f>
        <v/>
      </c>
      <c r="AK24" s="13">
        <f>SUM(AK22:AK23)</f>
        <v>0</v>
      </c>
      <c r="AL24" s="11"/>
      <c r="AN24" s="10" t="str">
        <f>IF(AN18="","",AN18*rate_fun)</f>
        <v/>
      </c>
      <c r="AO24" s="13">
        <f>SUM(AO22:AO23)</f>
        <v>0</v>
      </c>
      <c r="AP24" s="11"/>
      <c r="AR24" s="10" t="str">
        <f>IF(AR18="","",AR18*rate_fun)</f>
        <v/>
      </c>
      <c r="AS24" s="13">
        <f>SUM(AS22:AS23)</f>
        <v>0</v>
      </c>
      <c r="AT24" s="11"/>
      <c r="AV24" s="10" t="str">
        <f>IF(AV18="","",AV18*rate_fun)</f>
        <v/>
      </c>
      <c r="AW24" s="13">
        <f>SUM(AW22:AW23)</f>
        <v>0</v>
      </c>
      <c r="AX24" s="11"/>
      <c r="AZ24" s="15"/>
      <c r="BA24" s="10" t="str">
        <f>IF(D24="","",SUM(D24,H24,L24,P24,T24,X24,AB24,AF24,AJ24,AN24,AR24,AV24))</f>
        <v/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 t="str">
        <f>IF(AND(D8="",D18=""),"",D8+D18)</f>
        <v/>
      </c>
      <c r="E28" s="16"/>
      <c r="F28" s="16"/>
      <c r="G28" s="1"/>
      <c r="H28" s="16" t="str">
        <f>IF(AND(H8="",H18=""),"",H8+H18)</f>
        <v/>
      </c>
      <c r="I28" s="16"/>
      <c r="J28" s="16"/>
      <c r="K28" s="1"/>
      <c r="L28" s="16" t="str">
        <f>IF(AND(L8="",L18=""),"",L8+L18)</f>
        <v/>
      </c>
      <c r="M28" s="16"/>
      <c r="N28" s="16"/>
      <c r="O28" s="1"/>
      <c r="P28" s="16" t="str">
        <f>IF(AND(P8="",P18=""),"",P8+P18)</f>
        <v/>
      </c>
      <c r="Q28" s="16"/>
      <c r="R28" s="16"/>
      <c r="S28" s="1"/>
      <c r="T28" s="16" t="str">
        <f>IF(AND(T8="",T18=""),"",T8+T18)</f>
        <v/>
      </c>
      <c r="U28" s="16"/>
      <c r="V28" s="16"/>
      <c r="W28" s="1"/>
      <c r="X28" s="16" t="str">
        <f>IF(AND(X8="",X18=""),"",X8+X18)</f>
        <v/>
      </c>
      <c r="Y28" s="16"/>
      <c r="Z28" s="16"/>
      <c r="AA28" s="1"/>
      <c r="AB28" s="16" t="str">
        <f>IF(AND(AB8="",AB18=""),"",AB8+AB18)</f>
        <v/>
      </c>
      <c r="AC28" s="16"/>
      <c r="AD28" s="16"/>
      <c r="AE28" s="1"/>
      <c r="AF28" s="16" t="str">
        <f>IF(AND(AF8="",AF18=""),"",AF8+AF18)</f>
        <v/>
      </c>
      <c r="AG28" s="16"/>
      <c r="AH28" s="16"/>
      <c r="AI28" s="1"/>
      <c r="AJ28" s="16" t="str">
        <f>IF(AND(AJ8="",AJ18=""),"",AJ8+AJ18)</f>
        <v/>
      </c>
      <c r="AK28" s="16"/>
      <c r="AL28" s="16"/>
      <c r="AM28" s="1"/>
      <c r="AN28" s="16" t="str">
        <f>IF(AND(AN8="",AN18=""),"",AN8+AN18)</f>
        <v/>
      </c>
      <c r="AO28" s="16"/>
      <c r="AP28" s="16"/>
      <c r="AQ28" s="1"/>
      <c r="AR28" s="16" t="str">
        <f>IF(AND(AR8="",AR18=""),"",AR8+AR18)</f>
        <v/>
      </c>
      <c r="AS28" s="16"/>
      <c r="AT28" s="16"/>
      <c r="AU28" s="1"/>
      <c r="AV28" s="16" t="str">
        <f>IF(AND(AV8="",AV18=""),"",AV8+AV18)</f>
        <v/>
      </c>
      <c r="AW28" s="16"/>
      <c r="AX28" s="16"/>
      <c r="AZ28" s="15"/>
      <c r="BA28" s="6" t="str">
        <f>IF(D28="","",SUM(D28:AX28))</f>
        <v/>
      </c>
    </row>
    <row r="29" spans="2:55" x14ac:dyDescent="0.25">
      <c r="B29" t="s">
        <v>37</v>
      </c>
      <c r="D29" s="16" t="str">
        <f>IF(AND(D9="",D19=""),"",D9+D19)</f>
        <v/>
      </c>
      <c r="E29" s="16"/>
      <c r="F29" s="16"/>
      <c r="G29" s="1"/>
      <c r="H29" s="16" t="str">
        <f>IF(AND(H9="",H19=""),"",H9+H19)</f>
        <v/>
      </c>
      <c r="I29" s="16"/>
      <c r="J29" s="16"/>
      <c r="K29" s="1"/>
      <c r="L29" s="16" t="str">
        <f>IF(AND(L9="",L19=""),"",L9+L19)</f>
        <v/>
      </c>
      <c r="M29" s="16"/>
      <c r="N29" s="16"/>
      <c r="O29" s="1"/>
      <c r="P29" s="16" t="str">
        <f>IF(AND(P9="",P19=""),"",P9+P19)</f>
        <v/>
      </c>
      <c r="Q29" s="16"/>
      <c r="R29" s="16"/>
      <c r="S29" s="1"/>
      <c r="T29" s="16" t="str">
        <f>IF(AND(T9="",T19=""),"",T9+T19)</f>
        <v/>
      </c>
      <c r="U29" s="16"/>
      <c r="V29" s="16"/>
      <c r="W29" s="1"/>
      <c r="X29" s="16" t="str">
        <f>IF(AND(X9="",X19=""),"",X9+X19)</f>
        <v/>
      </c>
      <c r="Y29" s="16"/>
      <c r="Z29" s="16"/>
      <c r="AA29" s="1"/>
      <c r="AB29" s="16" t="str">
        <f>IF(AND(AB9="",AB19=""),"",AB9+AB19)</f>
        <v/>
      </c>
      <c r="AC29" s="16"/>
      <c r="AD29" s="16"/>
      <c r="AE29" s="1"/>
      <c r="AF29" s="16" t="str">
        <f>IF(AND(AF9="",AF19=""),"",AF9+AF19)</f>
        <v/>
      </c>
      <c r="AG29" s="16"/>
      <c r="AH29" s="16"/>
      <c r="AI29" s="1"/>
      <c r="AJ29" s="16" t="str">
        <f>IF(AND(AJ9="",AJ19=""),"",AJ9+AJ19)</f>
        <v/>
      </c>
      <c r="AK29" s="16"/>
      <c r="AL29" s="16"/>
      <c r="AM29" s="1"/>
      <c r="AN29" s="16" t="str">
        <f>IF(AND(AN9="",AN19=""),"",AN9+AN19)</f>
        <v/>
      </c>
      <c r="AO29" s="16"/>
      <c r="AP29" s="16"/>
      <c r="AQ29" s="1"/>
      <c r="AR29" s="16" t="str">
        <f>IF(AND(AR9="",AR19=""),"",AR9+AR19)</f>
        <v/>
      </c>
      <c r="AS29" s="16"/>
      <c r="AT29" s="16"/>
      <c r="AU29" s="1"/>
      <c r="AV29" s="16" t="str">
        <f>IF(AND(AV9="",AV19=""),"",AV9+AV19)</f>
        <v/>
      </c>
      <c r="AW29" s="16"/>
      <c r="AX29" s="16"/>
      <c r="AZ29" s="15"/>
      <c r="BA29" s="6" t="str">
        <f>IF(D29="","",SUM(D29:AX29))</f>
        <v/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 t="str">
        <f>IFERROR(D12+D22,"")</f>
        <v/>
      </c>
      <c r="E32" s="10" t="str">
        <f>IF(OR(E$12="",E$13="",E$22="",E$23=""),"",E12+E22)</f>
        <v/>
      </c>
      <c r="F32" s="10" t="str">
        <f>IFERROR(IF(E32="","",E32-D32),"")</f>
        <v/>
      </c>
      <c r="H32" s="10" t="str">
        <f>IFERROR(H12+H22,"")</f>
        <v/>
      </c>
      <c r="I32" s="10" t="str">
        <f>IF(OR(I$12="",I$13="",I$22="",I$23=""),"",I12+I22)</f>
        <v/>
      </c>
      <c r="J32" s="10" t="str">
        <f>IFERROR(IF(I32="","",I32-H32),"")</f>
        <v/>
      </c>
      <c r="L32" s="10" t="str">
        <f>IFERROR(L12+L22,"")</f>
        <v/>
      </c>
      <c r="M32" s="10" t="str">
        <f>IF(OR(M$12="",M$13="",M$22="",M$23=""),"",M12+M22)</f>
        <v/>
      </c>
      <c r="N32" s="10" t="str">
        <f>IFERROR(IF(M32="","",M32-L32),"")</f>
        <v/>
      </c>
      <c r="P32" s="10" t="str">
        <f>IFERROR(P12+P22,"")</f>
        <v/>
      </c>
      <c r="Q32" s="10" t="str">
        <f>IF(OR(Q$12="",Q$13="",Q$22="",Q$23=""),"",Q12+Q22)</f>
        <v/>
      </c>
      <c r="R32" s="10" t="str">
        <f>IFERROR(IF(Q32="","",Q32-P32),"")</f>
        <v/>
      </c>
      <c r="T32" s="10" t="str">
        <f>IFERROR(T12+T22,"")</f>
        <v/>
      </c>
      <c r="U32" s="10" t="str">
        <f>IF(OR(U$12="",U$13="",U$22="",U$23=""),"",U12+U22)</f>
        <v/>
      </c>
      <c r="V32" s="10" t="str">
        <f>IFERROR(IF(U32="","",U32-T32),"")</f>
        <v/>
      </c>
      <c r="X32" s="10" t="str">
        <f>IFERROR(X12+X22,"")</f>
        <v/>
      </c>
      <c r="Y32" s="10" t="str">
        <f>IF(OR(Y$12="",Y$13="",Y$22="",Y$23=""),"",Y12+Y22)</f>
        <v/>
      </c>
      <c r="Z32" s="10" t="str">
        <f>IFERROR(IF(Y32="","",Y32-X32),"")</f>
        <v/>
      </c>
      <c r="AB32" s="10" t="str">
        <f>IFERROR(AB12+AB22,"")</f>
        <v/>
      </c>
      <c r="AC32" s="10" t="str">
        <f>IF(OR(AC$12="",AC$13="",AC$22="",AC$23=""),"",AC12+AC22)</f>
        <v/>
      </c>
      <c r="AD32" s="10" t="str">
        <f>IFERROR(IF(AC32="","",AC32-AB32),"")</f>
        <v/>
      </c>
      <c r="AF32" s="10" t="str">
        <f>IFERROR(AF12+AF22,"")</f>
        <v/>
      </c>
      <c r="AG32" s="10" t="str">
        <f>IF(OR(AG$12="",AG$13="",AG$22="",AG$23=""),"",AG12+AG22)</f>
        <v/>
      </c>
      <c r="AH32" s="10" t="str">
        <f>IFERROR(IF(AG32="","",AG32-AF32),"")</f>
        <v/>
      </c>
      <c r="AJ32" s="10" t="str">
        <f>IFERROR(AJ12+AJ22,"")</f>
        <v/>
      </c>
      <c r="AK32" s="10" t="str">
        <f>IF(OR(AK$12="",AK$13="",AK$22="",AK$23=""),"",AK12+AK22)</f>
        <v/>
      </c>
      <c r="AL32" s="10" t="str">
        <f>IFERROR(IF(AK32="","",AK32-AJ32),"")</f>
        <v/>
      </c>
      <c r="AN32" s="10" t="str">
        <f>IFERROR(AN12+AN22,"")</f>
        <v/>
      </c>
      <c r="AO32" s="10" t="str">
        <f>IF(OR(AO$12="",AO$13="",AO$22="",AO$23=""),"",AO12+AO22)</f>
        <v/>
      </c>
      <c r="AP32" s="10" t="str">
        <f>IFERROR(IF(AO32="","",AO32-AN32),"")</f>
        <v/>
      </c>
      <c r="AR32" s="10" t="str">
        <f>IFERROR(AR12+AR22,"")</f>
        <v/>
      </c>
      <c r="AS32" s="10" t="str">
        <f>IF(OR(AS$12="",AS$13="",AS$22="",AS$23=""),"",AS12+AS22)</f>
        <v/>
      </c>
      <c r="AT32" s="10" t="str">
        <f>IFERROR(IF(AS32="","",AS32-AR32),"")</f>
        <v/>
      </c>
      <c r="AV32" s="10" t="str">
        <f>IFERROR(AV12+AV22,"")</f>
        <v/>
      </c>
      <c r="AW32" s="10" t="str">
        <f>IF(OR(AW$12="",AW$13="",AW$22="",AW$23=""),"",AW12+AW22)</f>
        <v/>
      </c>
      <c r="AX32" s="10" t="str">
        <f>IFERROR(IF(AW32="","",AW32-AV32),"")</f>
        <v/>
      </c>
      <c r="AZ32" s="15"/>
      <c r="BA32" s="10" t="str">
        <f>IFERROR(BA12+BA22,"")</f>
        <v/>
      </c>
      <c r="BB32" s="10" t="str">
        <f>IF(OR($E$12="",$E$13="",$E$22="",$E$23=""),"",BB12+BB22)</f>
        <v/>
      </c>
      <c r="BC32" s="10" t="str">
        <f>IFERROR(IF(BB32="","",BB32-BA32),"")</f>
        <v/>
      </c>
    </row>
    <row r="33" spans="2:55" x14ac:dyDescent="0.25">
      <c r="B33" t="s">
        <v>1</v>
      </c>
      <c r="D33" s="10" t="str">
        <f>IFERROR(D13+D23,"")</f>
        <v/>
      </c>
      <c r="E33" s="10" t="str">
        <f>IF(OR(E$12="",E$13="",E$22="",E$23=""),"",E13+E23)</f>
        <v/>
      </c>
      <c r="F33" s="10" t="str">
        <f>IFERROR(IF(E33="","",E33-D33),"")</f>
        <v/>
      </c>
      <c r="H33" s="10" t="str">
        <f>IFERROR(H13+H23,"")</f>
        <v/>
      </c>
      <c r="I33" s="10" t="str">
        <f>IF(OR(I$12="",I$13="",I$22="",I$23=""),"",I13+I23)</f>
        <v/>
      </c>
      <c r="J33" s="10" t="str">
        <f>IFERROR(IF(I33="","",I33-H33),"")</f>
        <v/>
      </c>
      <c r="L33" s="10" t="str">
        <f>IFERROR(L13+L23,"")</f>
        <v/>
      </c>
      <c r="M33" s="10" t="str">
        <f>IF(OR(M$12="",M$13="",M$22="",M$23=""),"",M13+M23)</f>
        <v/>
      </c>
      <c r="N33" s="10" t="str">
        <f>IFERROR(IF(M33="","",M33-L33),"")</f>
        <v/>
      </c>
      <c r="P33" s="10" t="str">
        <f>IFERROR(P13+P23,"")</f>
        <v/>
      </c>
      <c r="Q33" s="10" t="str">
        <f>IF(OR(Q$12="",Q$13="",Q$22="",Q$23=""),"",Q13+Q23)</f>
        <v/>
      </c>
      <c r="R33" s="10" t="str">
        <f>IFERROR(IF(Q33="","",Q33-P33),"")</f>
        <v/>
      </c>
      <c r="T33" s="10" t="str">
        <f>IFERROR(T13+T23,"")</f>
        <v/>
      </c>
      <c r="U33" s="10" t="str">
        <f>IF(OR(U$12="",U$13="",U$22="",U$23=""),"",U13+U23)</f>
        <v/>
      </c>
      <c r="V33" s="10" t="str">
        <f>IFERROR(IF(U33="","",U33-T33),"")</f>
        <v/>
      </c>
      <c r="X33" s="10" t="str">
        <f>IFERROR(X13+X23,"")</f>
        <v/>
      </c>
      <c r="Y33" s="10" t="str">
        <f>IF(OR(Y$12="",Y$13="",Y$22="",Y$23=""),"",Y13+Y23)</f>
        <v/>
      </c>
      <c r="Z33" s="10" t="str">
        <f>IFERROR(IF(Y33="","",Y33-X33),"")</f>
        <v/>
      </c>
      <c r="AB33" s="10" t="str">
        <f>IFERROR(AB13+AB23,"")</f>
        <v/>
      </c>
      <c r="AC33" s="10" t="str">
        <f>IF(OR(AC$12="",AC$13="",AC$22="",AC$23=""),"",AC13+AC23)</f>
        <v/>
      </c>
      <c r="AD33" s="10" t="str">
        <f>IFERROR(IF(AC33="","",AC33-AB33),"")</f>
        <v/>
      </c>
      <c r="AF33" s="10" t="str">
        <f>IFERROR(AF13+AF23,"")</f>
        <v/>
      </c>
      <c r="AG33" s="10" t="str">
        <f>IF(OR(AG$12="",AG$13="",AG$22="",AG$23=""),"",AG13+AG23)</f>
        <v/>
      </c>
      <c r="AH33" s="10" t="str">
        <f>IFERROR(IF(AG33="","",AG33-AF33),"")</f>
        <v/>
      </c>
      <c r="AJ33" s="10" t="str">
        <f>IFERROR(AJ13+AJ23,"")</f>
        <v/>
      </c>
      <c r="AK33" s="10" t="str">
        <f>IF(OR(AK$12="",AK$13="",AK$22="",AK$23=""),"",AK13+AK23)</f>
        <v/>
      </c>
      <c r="AL33" s="10" t="str">
        <f>IFERROR(IF(AK33="","",AK33-AJ33),"")</f>
        <v/>
      </c>
      <c r="AN33" s="10" t="str">
        <f>IFERROR(AN13+AN23,"")</f>
        <v/>
      </c>
      <c r="AO33" s="10" t="str">
        <f>IF(OR(AO$12="",AO$13="",AO$22="",AO$23=""),"",AO13+AO23)</f>
        <v/>
      </c>
      <c r="AP33" s="10" t="str">
        <f>IFERROR(IF(AO33="","",AO33-AN33),"")</f>
        <v/>
      </c>
      <c r="AR33" s="10" t="str">
        <f>IFERROR(AR13+AR23,"")</f>
        <v/>
      </c>
      <c r="AS33" s="10" t="str">
        <f>IF(OR(AS$12="",AS$13="",AS$22="",AS$23=""),"",AS13+AS23)</f>
        <v/>
      </c>
      <c r="AT33" s="10" t="str">
        <f>IFERROR(IF(AS33="","",AS33-AR33),"")</f>
        <v/>
      </c>
      <c r="AV33" s="10" t="str">
        <f>IFERROR(AV13+AV23,"")</f>
        <v/>
      </c>
      <c r="AW33" s="10" t="str">
        <f>IF(OR(AW$12="",AW$13="",AW$22="",AW$23=""),"",AW13+AW23)</f>
        <v/>
      </c>
      <c r="AX33" s="10" t="str">
        <f>IFERROR(IF(AW33="","",AW33-AV33),"")</f>
        <v/>
      </c>
      <c r="AZ33" s="15"/>
      <c r="BA33" s="10" t="str">
        <f>IFERROR(BA13+BA23,"")</f>
        <v/>
      </c>
      <c r="BB33" s="10" t="str">
        <f>IF(OR($E$12="",$E$13="",$E$22="",$E$23=""),"",BB13+BB23)</f>
        <v/>
      </c>
      <c r="BC33" s="10" t="str">
        <f>IFERROR(IF(BB33="","",BB33-BA33),"")</f>
        <v/>
      </c>
    </row>
    <row r="34" spans="2:55" x14ac:dyDescent="0.25">
      <c r="B34" t="s">
        <v>2</v>
      </c>
      <c r="D34" s="10" t="str">
        <f>IFERROR(D14+D24,"")</f>
        <v/>
      </c>
      <c r="E34" s="11"/>
      <c r="F34" s="11"/>
      <c r="H34" s="10" t="str">
        <f>IFERROR(H14+H24,"")</f>
        <v/>
      </c>
      <c r="I34" s="11"/>
      <c r="J34" s="11"/>
      <c r="L34" s="10" t="str">
        <f>IFERROR(L14+L24,"")</f>
        <v/>
      </c>
      <c r="M34" s="11"/>
      <c r="N34" s="11"/>
      <c r="P34" s="10" t="str">
        <f>IFERROR(P14+P24,"")</f>
        <v/>
      </c>
      <c r="Q34" s="11"/>
      <c r="R34" s="11"/>
      <c r="T34" s="10" t="str">
        <f>IFERROR(T14+T24,"")</f>
        <v/>
      </c>
      <c r="U34" s="11"/>
      <c r="V34" s="11"/>
      <c r="X34" s="10" t="str">
        <f>IFERROR(X14+X24,"")</f>
        <v/>
      </c>
      <c r="Y34" s="11"/>
      <c r="Z34" s="11"/>
      <c r="AB34" s="10" t="str">
        <f>IFERROR(AB14+AB24,"")</f>
        <v/>
      </c>
      <c r="AC34" s="11"/>
      <c r="AD34" s="11"/>
      <c r="AF34" s="10" t="str">
        <f>IFERROR(AF14+AF24,"")</f>
        <v/>
      </c>
      <c r="AG34" s="11"/>
      <c r="AH34" s="11"/>
      <c r="AJ34" s="10" t="str">
        <f>IFERROR(AJ14+AJ24,"")</f>
        <v/>
      </c>
      <c r="AK34" s="11"/>
      <c r="AL34" s="11"/>
      <c r="AN34" s="10" t="str">
        <f>IFERROR(AN14+AN24,"")</f>
        <v/>
      </c>
      <c r="AO34" s="11"/>
      <c r="AP34" s="11"/>
      <c r="AR34" s="10" t="str">
        <f>IFERROR(AR14+AR24,"")</f>
        <v/>
      </c>
      <c r="AS34" s="11"/>
      <c r="AT34" s="11"/>
      <c r="AV34" s="10" t="str">
        <f>IFERROR(AV14+AV24,"")</f>
        <v/>
      </c>
      <c r="AW34" s="11"/>
      <c r="AX34" s="11"/>
      <c r="AZ34" s="15"/>
      <c r="BA34" s="10" t="str">
        <f>IFERROR(BA14+BA24,"")</f>
        <v/>
      </c>
      <c r="BB34" s="11"/>
      <c r="BC34" s="11"/>
    </row>
  </sheetData>
  <conditionalFormatting sqref="F12:F13 F22:F23 F32:F33">
    <cfRule type="cellIs" dxfId="93" priority="82" operator="greaterThan">
      <formula>0</formula>
    </cfRule>
    <cfRule type="cellIs" dxfId="92" priority="83" operator="lessThan">
      <formula>0</formula>
    </cfRule>
  </conditionalFormatting>
  <conditionalFormatting sqref="D8:D9 D18:D19 E12:E13 E22:E23">
    <cfRule type="containsBlanks" dxfId="91" priority="72">
      <formula>LEN(TRIM(D8))=0</formula>
    </cfRule>
  </conditionalFormatting>
  <conditionalFormatting sqref="J12:J13 J22:J23 J32:J33">
    <cfRule type="cellIs" dxfId="90" priority="70" operator="greaterThan">
      <formula>0</formula>
    </cfRule>
    <cfRule type="cellIs" dxfId="89" priority="71" operator="lessThan">
      <formula>0</formula>
    </cfRule>
  </conditionalFormatting>
  <conditionalFormatting sqref="I12:I13 I23">
    <cfRule type="containsBlanks" dxfId="88" priority="69">
      <formula>LEN(TRIM(I12))=0</formula>
    </cfRule>
  </conditionalFormatting>
  <conditionalFormatting sqref="N12:N13 N22:N23 N32:N33">
    <cfRule type="cellIs" dxfId="87" priority="67" operator="greaterThan">
      <formula>0</formula>
    </cfRule>
    <cfRule type="cellIs" dxfId="86" priority="68" operator="lessThan">
      <formula>0</formula>
    </cfRule>
  </conditionalFormatting>
  <conditionalFormatting sqref="M12:M13 M23">
    <cfRule type="containsBlanks" dxfId="85" priority="66">
      <formula>LEN(TRIM(M12))=0</formula>
    </cfRule>
  </conditionalFormatting>
  <conditionalFormatting sqref="R12:R13 R22:R23 R32:R33">
    <cfRule type="cellIs" dxfId="84" priority="64" operator="greaterThan">
      <formula>0</formula>
    </cfRule>
    <cfRule type="cellIs" dxfId="83" priority="65" operator="lessThan">
      <formula>0</formula>
    </cfRule>
  </conditionalFormatting>
  <conditionalFormatting sqref="Q12:Q13 Q23">
    <cfRule type="containsBlanks" dxfId="82" priority="63">
      <formula>LEN(TRIM(Q12))=0</formula>
    </cfRule>
  </conditionalFormatting>
  <conditionalFormatting sqref="V12:V13 V22:V23 V32:V33">
    <cfRule type="cellIs" dxfId="81" priority="61" operator="greaterThan">
      <formula>0</formula>
    </cfRule>
    <cfRule type="cellIs" dxfId="80" priority="62" operator="lessThan">
      <formula>0</formula>
    </cfRule>
  </conditionalFormatting>
  <conditionalFormatting sqref="T18:T19 U12:U13 U22:U23">
    <cfRule type="containsBlanks" dxfId="79" priority="60">
      <formula>LEN(TRIM(T12))=0</formula>
    </cfRule>
  </conditionalFormatting>
  <conditionalFormatting sqref="Z12:Z13 Z22:Z23 Z32:Z33">
    <cfRule type="cellIs" dxfId="78" priority="58" operator="greaterThan">
      <formula>0</formula>
    </cfRule>
    <cfRule type="cellIs" dxfId="77" priority="59" operator="lessThan">
      <formula>0</formula>
    </cfRule>
  </conditionalFormatting>
  <conditionalFormatting sqref="Y12:Y13 Y22:Y23">
    <cfRule type="containsBlanks" dxfId="76" priority="57">
      <formula>LEN(TRIM(Y12))=0</formula>
    </cfRule>
  </conditionalFormatting>
  <conditionalFormatting sqref="AD12:AD13 AD22:AD23 AD32:AD33">
    <cfRule type="cellIs" dxfId="75" priority="55" operator="greaterThan">
      <formula>0</formula>
    </cfRule>
    <cfRule type="cellIs" dxfId="74" priority="56" operator="lessThan">
      <formula>0</formula>
    </cfRule>
  </conditionalFormatting>
  <conditionalFormatting sqref="AB8:AB9 AB18:AB19 AC12:AC13 AC22:AC23">
    <cfRule type="containsBlanks" dxfId="73" priority="54">
      <formula>LEN(TRIM(AB8))=0</formula>
    </cfRule>
  </conditionalFormatting>
  <conditionalFormatting sqref="AH12:AH13 AH22:AH23 AH32:AH33">
    <cfRule type="cellIs" dxfId="72" priority="52" operator="greaterThan">
      <formula>0</formula>
    </cfRule>
    <cfRule type="cellIs" dxfId="71" priority="53" operator="lessThan">
      <formula>0</formula>
    </cfRule>
  </conditionalFormatting>
  <conditionalFormatting sqref="AF19 AG12:AG13 AG22:AG23">
    <cfRule type="containsBlanks" dxfId="70" priority="51">
      <formula>LEN(TRIM(AF12))=0</formula>
    </cfRule>
  </conditionalFormatting>
  <conditionalFormatting sqref="AL12:AL13 AL22:AL23 AL32:AL33">
    <cfRule type="cellIs" dxfId="69" priority="49" operator="greaterThan">
      <formula>0</formula>
    </cfRule>
    <cfRule type="cellIs" dxfId="68" priority="50" operator="lessThan">
      <formula>0</formula>
    </cfRule>
  </conditionalFormatting>
  <conditionalFormatting sqref="AJ19 AK12:AK13 AK22:AK23">
    <cfRule type="containsBlanks" dxfId="67" priority="48">
      <formula>LEN(TRIM(AJ12))=0</formula>
    </cfRule>
  </conditionalFormatting>
  <conditionalFormatting sqref="AP12:AP13 AP22:AP23 AP32:AP33">
    <cfRule type="cellIs" dxfId="66" priority="46" operator="greaterThan">
      <formula>0</formula>
    </cfRule>
    <cfRule type="cellIs" dxfId="65" priority="47" operator="lessThan">
      <formula>0</formula>
    </cfRule>
  </conditionalFormatting>
  <conditionalFormatting sqref="AN8:AN9 AN19 AO12:AO13 AO22:AO23">
    <cfRule type="containsBlanks" dxfId="64" priority="45">
      <formula>LEN(TRIM(AN8))=0</formula>
    </cfRule>
  </conditionalFormatting>
  <conditionalFormatting sqref="AT12:AT13 AT22:AT23 AT32:AT33">
    <cfRule type="cellIs" dxfId="63" priority="43" operator="greaterThan">
      <formula>0</formula>
    </cfRule>
    <cfRule type="cellIs" dxfId="62" priority="44" operator="lessThan">
      <formula>0</formula>
    </cfRule>
  </conditionalFormatting>
  <conditionalFormatting sqref="AR19 AS12:AS13 AS22:AS23">
    <cfRule type="containsBlanks" dxfId="61" priority="42">
      <formula>LEN(TRIM(AR12))=0</formula>
    </cfRule>
  </conditionalFormatting>
  <conditionalFormatting sqref="AX12:AX13 AX22:AX23 AX32:AX33">
    <cfRule type="cellIs" dxfId="60" priority="40" operator="greaterThan">
      <formula>0</formula>
    </cfRule>
    <cfRule type="cellIs" dxfId="59" priority="41" operator="lessThan">
      <formula>0</formula>
    </cfRule>
  </conditionalFormatting>
  <conditionalFormatting sqref="AV19 AW12:AW13 AW22:AW23">
    <cfRule type="containsBlanks" dxfId="58" priority="39">
      <formula>LEN(TRIM(AV12))=0</formula>
    </cfRule>
  </conditionalFormatting>
  <conditionalFormatting sqref="BC32:BC33">
    <cfRule type="cellIs" dxfId="57" priority="37" operator="greaterThan">
      <formula>0</formula>
    </cfRule>
    <cfRule type="cellIs" dxfId="56" priority="38" operator="lessThan">
      <formula>0</formula>
    </cfRule>
  </conditionalFormatting>
  <conditionalFormatting sqref="BC12:BC13">
    <cfRule type="cellIs" dxfId="55" priority="31" operator="greaterThan">
      <formula>0</formula>
    </cfRule>
    <cfRule type="cellIs" dxfId="54" priority="32" operator="lessThan">
      <formula>0</formula>
    </cfRule>
  </conditionalFormatting>
  <conditionalFormatting sqref="BC22:BC23">
    <cfRule type="cellIs" dxfId="53" priority="29" operator="greaterThan">
      <formula>0</formula>
    </cfRule>
    <cfRule type="cellIs" dxfId="52" priority="30" operator="lessThan">
      <formula>0</formula>
    </cfRule>
  </conditionalFormatting>
  <conditionalFormatting sqref="I22">
    <cfRule type="containsBlanks" dxfId="51" priority="22">
      <formula>LEN(TRIM(I22))=0</formula>
    </cfRule>
  </conditionalFormatting>
  <conditionalFormatting sqref="Q22">
    <cfRule type="containsBlanks" dxfId="50" priority="20">
      <formula>LEN(TRIM(Q22))=0</formula>
    </cfRule>
  </conditionalFormatting>
  <conditionalFormatting sqref="H8:H9">
    <cfRule type="containsBlanks" dxfId="49" priority="19">
      <formula>LEN(TRIM(H8))=0</formula>
    </cfRule>
  </conditionalFormatting>
  <conditionalFormatting sqref="L8:L9">
    <cfRule type="containsBlanks" dxfId="48" priority="18">
      <formula>LEN(TRIM(L8))=0</formula>
    </cfRule>
  </conditionalFormatting>
  <conditionalFormatting sqref="P8:P9">
    <cfRule type="containsBlanks" dxfId="47" priority="17">
      <formula>LEN(TRIM(P8))=0</formula>
    </cfRule>
  </conditionalFormatting>
  <conditionalFormatting sqref="T8:T9">
    <cfRule type="containsBlanks" dxfId="46" priority="16">
      <formula>LEN(TRIM(T8))=0</formula>
    </cfRule>
  </conditionalFormatting>
  <conditionalFormatting sqref="X8:X9">
    <cfRule type="containsBlanks" dxfId="45" priority="15">
      <formula>LEN(TRIM(X8))=0</formula>
    </cfRule>
  </conditionalFormatting>
  <conditionalFormatting sqref="AF8:AF9">
    <cfRule type="containsBlanks" dxfId="44" priority="14">
      <formula>LEN(TRIM(AF8))=0</formula>
    </cfRule>
  </conditionalFormatting>
  <conditionalFormatting sqref="AJ8:AJ9">
    <cfRule type="containsBlanks" dxfId="43" priority="13">
      <formula>LEN(TRIM(AJ8))=0</formula>
    </cfRule>
  </conditionalFormatting>
  <conditionalFormatting sqref="AR8:AR9">
    <cfRule type="containsBlanks" dxfId="42" priority="12">
      <formula>LEN(TRIM(AR8))=0</formula>
    </cfRule>
  </conditionalFormatting>
  <conditionalFormatting sqref="AV8:AV9">
    <cfRule type="containsBlanks" dxfId="41" priority="11">
      <formula>LEN(TRIM(AV8))=0</formula>
    </cfRule>
  </conditionalFormatting>
  <conditionalFormatting sqref="H18:H19">
    <cfRule type="containsBlanks" dxfId="40" priority="10">
      <formula>LEN(TRIM(H18))=0</formula>
    </cfRule>
  </conditionalFormatting>
  <conditionalFormatting sqref="L18:L19">
    <cfRule type="containsBlanks" dxfId="39" priority="9">
      <formula>LEN(TRIM(L18))=0</formula>
    </cfRule>
  </conditionalFormatting>
  <conditionalFormatting sqref="P18:P19">
    <cfRule type="containsBlanks" dxfId="38" priority="8">
      <formula>LEN(TRIM(P18))=0</formula>
    </cfRule>
  </conditionalFormatting>
  <conditionalFormatting sqref="X18:X19">
    <cfRule type="containsBlanks" dxfId="37" priority="7">
      <formula>LEN(TRIM(X18))=0</formula>
    </cfRule>
  </conditionalFormatting>
  <conditionalFormatting sqref="AF18">
    <cfRule type="containsBlanks" dxfId="36" priority="6">
      <formula>LEN(TRIM(AF18))=0</formula>
    </cfRule>
  </conditionalFormatting>
  <conditionalFormatting sqref="AJ18">
    <cfRule type="containsBlanks" dxfId="35" priority="5">
      <formula>LEN(TRIM(AJ18))=0</formula>
    </cfRule>
  </conditionalFormatting>
  <conditionalFormatting sqref="AN18">
    <cfRule type="containsBlanks" dxfId="34" priority="4">
      <formula>LEN(TRIM(AN18))=0</formula>
    </cfRule>
  </conditionalFormatting>
  <conditionalFormatting sqref="AR18">
    <cfRule type="containsBlanks" dxfId="33" priority="3">
      <formula>LEN(TRIM(AR18))=0</formula>
    </cfRule>
  </conditionalFormatting>
  <conditionalFormatting sqref="AV18">
    <cfRule type="containsBlanks" dxfId="32" priority="2">
      <formula>LEN(TRIM(AV18))=0</formula>
    </cfRule>
  </conditionalFormatting>
  <conditionalFormatting sqref="M22">
    <cfRule type="containsBlanks" dxfId="31" priority="1">
      <formula>LEN(TRIM(M22))=0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 t="str">
        <f>IF(OR(D9="",D10="",D9=0,D10=0),"",SUM(D9:D10))</f>
        <v/>
      </c>
      <c r="E8" s="6" t="str">
        <f>IF(OR(E9="",E10="",E9=0,E10=0),"",SUM(E9:E10))</f>
        <v/>
      </c>
      <c r="F8" s="6" t="str">
        <f t="shared" ref="F8:O8" si="0">IF(OR(F9="",F10="",F9=0,F10=0),"",SUM(F9:F10))</f>
        <v/>
      </c>
      <c r="G8" s="6" t="str">
        <f t="shared" si="0"/>
        <v/>
      </c>
      <c r="H8" s="6" t="str">
        <f t="shared" si="0"/>
        <v/>
      </c>
      <c r="I8" s="6" t="str">
        <f t="shared" si="0"/>
        <v/>
      </c>
      <c r="J8" s="6" t="str">
        <f t="shared" si="0"/>
        <v/>
      </c>
      <c r="K8" s="6" t="str">
        <f t="shared" si="0"/>
        <v/>
      </c>
      <c r="L8" s="6" t="str">
        <f t="shared" si="0"/>
        <v/>
      </c>
      <c r="M8" s="6" t="str">
        <f t="shared" si="0"/>
        <v/>
      </c>
      <c r="N8" s="6" t="str">
        <f t="shared" si="0"/>
        <v/>
      </c>
      <c r="O8" s="6" t="str">
        <f t="shared" si="0"/>
        <v/>
      </c>
      <c r="P8" s="6"/>
      <c r="Q8" s="6" t="str">
        <f>IF(D8="","",SUM(Q9:Q10))</f>
        <v/>
      </c>
    </row>
    <row r="9" spans="2:17" s="26" customFormat="1" ht="11.25" x14ac:dyDescent="0.2">
      <c r="B9" s="26" t="s">
        <v>56</v>
      </c>
      <c r="D9" s="26" t="str">
        <f>budżet!E32</f>
        <v/>
      </c>
      <c r="E9" s="26" t="str">
        <f>IF(budżet!I32=0,"",budżet!I32)</f>
        <v/>
      </c>
      <c r="F9" s="26" t="str">
        <f>IF(budżet!M32=0,"",budżet!M32)</f>
        <v/>
      </c>
      <c r="G9" s="26" t="str">
        <f>IF(budżet!Q32=0,"",budżet!Q32)</f>
        <v/>
      </c>
      <c r="H9" s="26" t="str">
        <f>IF(budżet!U32=0,"",budżet!U32)</f>
        <v/>
      </c>
      <c r="I9" s="26" t="str">
        <f>IF(budżet!Y32=0,"",budżet!Y32)</f>
        <v/>
      </c>
      <c r="J9" s="26" t="str">
        <f>IF(budżet!AC32=0,"",budżet!AC32)</f>
        <v/>
      </c>
      <c r="K9" s="26" t="str">
        <f>IF(budżet!AG32=0,"",budżet!AG32)</f>
        <v/>
      </c>
      <c r="L9" s="26" t="str">
        <f>IF(budżet!AK32=0,"",budżet!AK32)</f>
        <v/>
      </c>
      <c r="M9" s="26" t="str">
        <f>IF(budżet!AO32=0,"",budżet!AO32)</f>
        <v/>
      </c>
      <c r="N9" s="26" t="str">
        <f>IF(budżet!AS32=0,"",budżet!AS32)</f>
        <v/>
      </c>
      <c r="O9" s="26" t="str">
        <f>IF(budżet!AW32=0,"",budżet!AW32)</f>
        <v/>
      </c>
      <c r="Q9" s="26" t="str">
        <f>IF(D9="","",SUM(D9:P9))</f>
        <v/>
      </c>
    </row>
    <row r="10" spans="2:17" x14ac:dyDescent="0.25">
      <c r="B10" s="26" t="s">
        <v>57</v>
      </c>
      <c r="C10" s="26"/>
      <c r="D10" s="26" t="str">
        <f>budżet!E33</f>
        <v/>
      </c>
      <c r="E10" s="26" t="str">
        <f>IF(budżet!I33=0,"",budżet!I33)</f>
        <v/>
      </c>
      <c r="F10" s="26" t="str">
        <f>IF(budżet!M33=0,"",budżet!M33)</f>
        <v/>
      </c>
      <c r="G10" s="26" t="str">
        <f>IF(budżet!Q33=0,"",budżet!Q33)</f>
        <v/>
      </c>
      <c r="H10" s="26" t="str">
        <f>IF(budżet!U33=0,"",budżet!U33)</f>
        <v/>
      </c>
      <c r="I10" s="26" t="str">
        <f>IF(budżet!Y33=0,"",budżet!Y33)</f>
        <v/>
      </c>
      <c r="J10" s="26" t="str">
        <f>IF(budżet!AC33=0,"",budżet!AC33)</f>
        <v/>
      </c>
      <c r="K10" s="26" t="str">
        <f>IF(budżet!AG33=0,"",budżet!AG33)</f>
        <v/>
      </c>
      <c r="L10" s="26" t="str">
        <f>IF(budżet!AK33=0,"",budżet!AK33)</f>
        <v/>
      </c>
      <c r="M10" s="26" t="str">
        <f>IF(budżet!AO33=0,"",budżet!AO33)</f>
        <v/>
      </c>
      <c r="N10" s="26" t="str">
        <f>IF(budżet!AS33=0,"",budżet!AS33)</f>
        <v/>
      </c>
      <c r="O10" s="26" t="str">
        <f>IF(budżet!AW33=0,"",budżet!AW33)</f>
        <v/>
      </c>
      <c r="P10" s="26"/>
      <c r="Q10" s="26" t="str">
        <f>IF(D10="","",SUM(D10:P10))</f>
        <v/>
      </c>
    </row>
    <row r="11" spans="2:17" s="16" customFormat="1" x14ac:dyDescent="0.25">
      <c r="B11" s="6" t="s">
        <v>48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>
        <f>SUM(D11:O11)</f>
        <v>0</v>
      </c>
    </row>
    <row r="12" spans="2:17" x14ac:dyDescent="0.25">
      <c r="B12" s="38" t="s">
        <v>38</v>
      </c>
      <c r="C12" s="38"/>
      <c r="D12" s="38" t="str">
        <f>IFERROR(D8+D11,"")</f>
        <v/>
      </c>
      <c r="E12" s="38" t="str">
        <f t="shared" ref="E12:O12" si="1">IFERROR(E8+E11,"")</f>
        <v/>
      </c>
      <c r="F12" s="38" t="str">
        <f t="shared" si="1"/>
        <v/>
      </c>
      <c r="G12" s="38" t="str">
        <f t="shared" si="1"/>
        <v/>
      </c>
      <c r="H12" s="38" t="str">
        <f t="shared" si="1"/>
        <v/>
      </c>
      <c r="I12" s="38" t="str">
        <f t="shared" si="1"/>
        <v/>
      </c>
      <c r="J12" s="38" t="str">
        <f t="shared" si="1"/>
        <v/>
      </c>
      <c r="K12" s="38" t="str">
        <f t="shared" si="1"/>
        <v/>
      </c>
      <c r="L12" s="38" t="str">
        <f t="shared" si="1"/>
        <v/>
      </c>
      <c r="M12" s="38" t="str">
        <f t="shared" si="1"/>
        <v/>
      </c>
      <c r="N12" s="38" t="str">
        <f t="shared" si="1"/>
        <v/>
      </c>
      <c r="O12" s="38" t="str">
        <f t="shared" si="1"/>
        <v/>
      </c>
      <c r="P12" s="16"/>
      <c r="Q12" s="38" t="str">
        <f>IFERROR(Q8+Q11,"")</f>
        <v/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Q16" s="6">
        <f>SUM(D16:O16)</f>
        <v>0</v>
      </c>
    </row>
    <row r="17" spans="2:17" x14ac:dyDescent="0.25">
      <c r="B17" s="6" t="s">
        <v>51</v>
      </c>
      <c r="Q17" s="6">
        <f t="shared" ref="Q17:Q20" si="2">SUM(D17:O17)</f>
        <v>0</v>
      </c>
    </row>
    <row r="18" spans="2:17" x14ac:dyDescent="0.25">
      <c r="B18" s="6" t="s">
        <v>52</v>
      </c>
      <c r="Q18" s="6">
        <f t="shared" si="2"/>
        <v>0</v>
      </c>
    </row>
    <row r="19" spans="2:17" x14ac:dyDescent="0.25">
      <c r="B19" s="6" t="s">
        <v>84</v>
      </c>
      <c r="Q19" s="6">
        <f t="shared" si="2"/>
        <v>0</v>
      </c>
    </row>
    <row r="20" spans="2:17" s="16" customFormat="1" x14ac:dyDescent="0.25">
      <c r="B20" s="6" t="s">
        <v>70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>
        <f t="shared" si="2"/>
        <v>0</v>
      </c>
    </row>
    <row r="21" spans="2:17" x14ac:dyDescent="0.25">
      <c r="B21" s="38" t="s">
        <v>38</v>
      </c>
      <c r="C21" s="38"/>
      <c r="D21" s="38" t="str">
        <f>IF(AND(D16="",D17="",D18="",D19="",D20=""),"",SUM(D16:D20))</f>
        <v/>
      </c>
      <c r="E21" s="38" t="str">
        <f t="shared" ref="E21:O21" si="3">IF(AND(E16="",E17="",E18="",E19="",E20=""),"",SUM(E16:E20))</f>
        <v/>
      </c>
      <c r="F21" s="38" t="str">
        <f t="shared" si="3"/>
        <v/>
      </c>
      <c r="G21" s="38" t="str">
        <f t="shared" si="3"/>
        <v/>
      </c>
      <c r="H21" s="38" t="str">
        <f t="shared" si="3"/>
        <v/>
      </c>
      <c r="I21" s="38" t="str">
        <f t="shared" si="3"/>
        <v/>
      </c>
      <c r="J21" s="38" t="str">
        <f t="shared" si="3"/>
        <v/>
      </c>
      <c r="K21" s="38" t="str">
        <f t="shared" si="3"/>
        <v/>
      </c>
      <c r="L21" s="38" t="str">
        <f t="shared" si="3"/>
        <v/>
      </c>
      <c r="M21" s="38" t="str">
        <f t="shared" si="3"/>
        <v/>
      </c>
      <c r="N21" s="38" t="str">
        <f t="shared" si="3"/>
        <v/>
      </c>
      <c r="O21" s="38" t="str">
        <f t="shared" si="3"/>
        <v/>
      </c>
      <c r="P21" s="16"/>
      <c r="Q21" s="38">
        <f t="shared" ref="Q21" si="4">SUM(Q16:Q20)</f>
        <v>0</v>
      </c>
    </row>
    <row r="23" spans="2:17" x14ac:dyDescent="0.25">
      <c r="B23" s="6" t="s">
        <v>53</v>
      </c>
      <c r="Q23" s="6">
        <f>SUM(D23:O23)</f>
        <v>0</v>
      </c>
    </row>
    <row r="24" spans="2:17" x14ac:dyDescent="0.25">
      <c r="B24" s="6" t="s">
        <v>90</v>
      </c>
      <c r="Q24" s="6">
        <f>SUM(D24:O24)</f>
        <v>0</v>
      </c>
    </row>
    <row r="25" spans="2:17" x14ac:dyDescent="0.25">
      <c r="B25" s="38" t="s">
        <v>38</v>
      </c>
      <c r="C25" s="38"/>
      <c r="D25" s="38" t="str">
        <f>IF(AND(D23="",D24=""),"",SUM(D23:D24))</f>
        <v/>
      </c>
      <c r="E25" s="38" t="str">
        <f t="shared" ref="E25:O25" si="5">IF(AND(E23="",E24=""),"",SUM(E23:E24))</f>
        <v/>
      </c>
      <c r="F25" s="38" t="str">
        <f t="shared" si="5"/>
        <v/>
      </c>
      <c r="G25" s="38" t="str">
        <f t="shared" si="5"/>
        <v/>
      </c>
      <c r="H25" s="38" t="str">
        <f t="shared" si="5"/>
        <v/>
      </c>
      <c r="I25" s="38" t="str">
        <f t="shared" si="5"/>
        <v/>
      </c>
      <c r="J25" s="38" t="str">
        <f t="shared" si="5"/>
        <v/>
      </c>
      <c r="K25" s="38" t="str">
        <f t="shared" si="5"/>
        <v/>
      </c>
      <c r="L25" s="38" t="str">
        <f t="shared" si="5"/>
        <v/>
      </c>
      <c r="M25" s="38" t="str">
        <f t="shared" si="5"/>
        <v/>
      </c>
      <c r="N25" s="38" t="str">
        <f t="shared" si="5"/>
        <v/>
      </c>
      <c r="O25" s="38" t="str">
        <f t="shared" si="5"/>
        <v/>
      </c>
      <c r="Q25" s="38">
        <f t="shared" ref="Q25" si="6">SUM(Q23:Q24)</f>
        <v>0</v>
      </c>
    </row>
    <row r="27" spans="2:17" x14ac:dyDescent="0.25">
      <c r="B27" s="6" t="s">
        <v>54</v>
      </c>
      <c r="Q27" s="6">
        <f>SUM(D27:O27)</f>
        <v>0</v>
      </c>
    </row>
    <row r="28" spans="2:17" x14ac:dyDescent="0.25">
      <c r="B28" s="6" t="s">
        <v>55</v>
      </c>
      <c r="Q28" s="6">
        <f>SUM(D28:O28)</f>
        <v>0</v>
      </c>
    </row>
    <row r="29" spans="2:17" x14ac:dyDescent="0.25">
      <c r="B29" s="38" t="s">
        <v>38</v>
      </c>
      <c r="C29" s="38"/>
      <c r="D29" s="38" t="str">
        <f>IF(AND(D27="",D28=""),"",SUM(D27:D28))</f>
        <v/>
      </c>
      <c r="E29" s="38" t="str">
        <f t="shared" ref="E29:O29" si="7">IF(AND(E27="",E28=""),"",SUM(E27:E28))</f>
        <v/>
      </c>
      <c r="F29" s="38" t="str">
        <f t="shared" si="7"/>
        <v/>
      </c>
      <c r="G29" s="38" t="str">
        <f t="shared" si="7"/>
        <v/>
      </c>
      <c r="H29" s="38" t="str">
        <f t="shared" si="7"/>
        <v/>
      </c>
      <c r="I29" s="38" t="str">
        <f t="shared" si="7"/>
        <v/>
      </c>
      <c r="J29" s="38" t="str">
        <f t="shared" si="7"/>
        <v/>
      </c>
      <c r="K29" s="38" t="str">
        <f t="shared" si="7"/>
        <v/>
      </c>
      <c r="L29" s="38" t="str">
        <f t="shared" si="7"/>
        <v/>
      </c>
      <c r="M29" s="38" t="str">
        <f t="shared" si="7"/>
        <v/>
      </c>
      <c r="N29" s="38" t="str">
        <f t="shared" si="7"/>
        <v/>
      </c>
      <c r="O29" s="38" t="str">
        <f t="shared" si="7"/>
        <v/>
      </c>
      <c r="Q29" s="38">
        <f t="shared" ref="Q29" si="8">SUM(Q27:Q28)</f>
        <v>0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 t="str">
        <f>IFERROR(D21+D25+D29,"")</f>
        <v/>
      </c>
      <c r="E31" s="38" t="str">
        <f t="shared" ref="E31:O31" si="9">IFERROR(E21+E25+E29,"")</f>
        <v/>
      </c>
      <c r="F31" s="38" t="str">
        <f t="shared" si="9"/>
        <v/>
      </c>
      <c r="G31" s="38" t="str">
        <f t="shared" si="9"/>
        <v/>
      </c>
      <c r="H31" s="38" t="str">
        <f t="shared" si="9"/>
        <v/>
      </c>
      <c r="I31" s="38" t="str">
        <f t="shared" si="9"/>
        <v/>
      </c>
      <c r="J31" s="38" t="str">
        <f t="shared" si="9"/>
        <v/>
      </c>
      <c r="K31" s="38" t="str">
        <f t="shared" si="9"/>
        <v/>
      </c>
      <c r="L31" s="38" t="str">
        <f t="shared" si="9"/>
        <v/>
      </c>
      <c r="M31" s="38" t="str">
        <f t="shared" si="9"/>
        <v/>
      </c>
      <c r="N31" s="38" t="str">
        <f t="shared" si="9"/>
        <v/>
      </c>
      <c r="O31" s="38" t="str">
        <f t="shared" si="9"/>
        <v/>
      </c>
      <c r="Q31" s="38">
        <f t="shared" ref="Q31" si="10">Q21+Q25+Q29</f>
        <v>0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 t="str">
        <f>IFERROR(D12-D31,"")</f>
        <v/>
      </c>
      <c r="E33" s="16" t="str">
        <f t="shared" ref="E33:Q33" si="11">IFERROR(E12-E31,"")</f>
        <v/>
      </c>
      <c r="F33" s="16" t="str">
        <f t="shared" si="11"/>
        <v/>
      </c>
      <c r="G33" s="16" t="str">
        <f t="shared" si="11"/>
        <v/>
      </c>
      <c r="H33" s="16" t="str">
        <f t="shared" si="11"/>
        <v/>
      </c>
      <c r="I33" s="16" t="str">
        <f t="shared" si="11"/>
        <v/>
      </c>
      <c r="J33" s="16" t="str">
        <f t="shared" si="11"/>
        <v/>
      </c>
      <c r="K33" s="16" t="str">
        <f t="shared" si="11"/>
        <v/>
      </c>
      <c r="L33" s="16" t="str">
        <f t="shared" si="11"/>
        <v/>
      </c>
      <c r="M33" s="16" t="str">
        <f t="shared" si="11"/>
        <v/>
      </c>
      <c r="N33" s="16" t="str">
        <f t="shared" si="11"/>
        <v/>
      </c>
      <c r="O33" s="16" t="str">
        <f t="shared" si="11"/>
        <v/>
      </c>
      <c r="Q33" s="16" t="str">
        <f t="shared" si="11"/>
        <v/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</row>
    <row r="9" spans="2:15" x14ac:dyDescent="0.25">
      <c r="B9" s="6" t="s">
        <v>1</v>
      </c>
    </row>
    <row r="10" spans="2:15" x14ac:dyDescent="0.25">
      <c r="B10" s="6" t="s">
        <v>63</v>
      </c>
    </row>
    <row r="12" spans="2:15" s="16" customFormat="1" x14ac:dyDescent="0.25">
      <c r="B12" s="30" t="s">
        <v>38</v>
      </c>
      <c r="C12" s="30"/>
      <c r="D12" s="30">
        <f>SUM(D8:D10)</f>
        <v>0</v>
      </c>
      <c r="E12" s="30">
        <f t="shared" ref="E12:O12" si="0">SUM(E8:E10)</f>
        <v>0</v>
      </c>
      <c r="F12" s="30">
        <f t="shared" si="0"/>
        <v>0</v>
      </c>
      <c r="G12" s="30">
        <f t="shared" si="0"/>
        <v>0</v>
      </c>
      <c r="H12" s="30">
        <f t="shared" si="0"/>
        <v>0</v>
      </c>
      <c r="I12" s="30">
        <f t="shared" si="0"/>
        <v>0</v>
      </c>
      <c r="J12" s="30">
        <f t="shared" si="0"/>
        <v>0</v>
      </c>
      <c r="K12" s="30">
        <f t="shared" si="0"/>
        <v>0</v>
      </c>
      <c r="L12" s="30">
        <f t="shared" si="0"/>
        <v>0</v>
      </c>
      <c r="M12" s="30">
        <f t="shared" si="0"/>
        <v>0</v>
      </c>
      <c r="N12" s="30">
        <f t="shared" si="0"/>
        <v>0</v>
      </c>
      <c r="O12" s="30">
        <f t="shared" si="0"/>
        <v>0</v>
      </c>
    </row>
    <row r="13" spans="2:15" s="16" customFormat="1" x14ac:dyDescent="0.25"/>
    <row r="14" spans="2:15" s="16" customFormat="1" x14ac:dyDescent="0.25">
      <c r="B14" s="32" t="s">
        <v>64</v>
      </c>
      <c r="D14" s="30" t="str">
        <f>IF(AND(D15=0,D17=0,D18=0),"",SUM(D15:D18))</f>
        <v/>
      </c>
      <c r="E14" s="30" t="str">
        <f t="shared" ref="E14:O14" si="1">IF(AND(E15=0,E17=0,E18=0),"",SUM(E15:E18))</f>
        <v/>
      </c>
      <c r="F14" s="30" t="str">
        <f t="shared" si="1"/>
        <v/>
      </c>
      <c r="G14" s="30" t="str">
        <f t="shared" si="1"/>
        <v/>
      </c>
      <c r="H14" s="30" t="str">
        <f t="shared" si="1"/>
        <v/>
      </c>
      <c r="I14" s="30" t="str">
        <f t="shared" si="1"/>
        <v/>
      </c>
      <c r="J14" s="30" t="str">
        <f t="shared" si="1"/>
        <v/>
      </c>
      <c r="K14" s="30" t="str">
        <f t="shared" si="1"/>
        <v/>
      </c>
      <c r="L14" s="30" t="str">
        <f t="shared" si="1"/>
        <v/>
      </c>
      <c r="M14" s="30" t="str">
        <f t="shared" si="1"/>
        <v/>
      </c>
      <c r="N14" s="30" t="str">
        <f t="shared" si="1"/>
        <v/>
      </c>
      <c r="O14" s="30" t="str">
        <f t="shared" si="1"/>
        <v/>
      </c>
    </row>
    <row r="15" spans="2:15" s="36" customFormat="1" ht="11.25" customHeight="1" x14ac:dyDescent="0.2">
      <c r="B15" s="35" t="s">
        <v>91</v>
      </c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2:15" s="36" customFormat="1" ht="11.25" customHeight="1" x14ac:dyDescent="0.2">
      <c r="B16" s="35" t="s">
        <v>91</v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</row>
    <row r="17" spans="2:15" s="36" customFormat="1" ht="11.25" customHeight="1" x14ac:dyDescent="0.2">
      <c r="B17" s="35" t="s">
        <v>91</v>
      </c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</row>
    <row r="18" spans="2:15" s="36" customFormat="1" ht="11.25" customHeight="1" x14ac:dyDescent="0.2">
      <c r="B18" s="35" t="s">
        <v>91</v>
      </c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SUM(D21:D25)</f>
        <v>0</v>
      </c>
      <c r="E20" s="30">
        <f t="shared" ref="E20:O20" si="2">SUM(E21:E25)</f>
        <v>0</v>
      </c>
      <c r="F20" s="30">
        <f t="shared" si="2"/>
        <v>0</v>
      </c>
      <c r="G20" s="30">
        <f t="shared" si="2"/>
        <v>0</v>
      </c>
      <c r="H20" s="30">
        <f t="shared" si="2"/>
        <v>0</v>
      </c>
      <c r="I20" s="30">
        <f t="shared" si="2"/>
        <v>0</v>
      </c>
      <c r="J20" s="30">
        <f t="shared" si="2"/>
        <v>0</v>
      </c>
      <c r="K20" s="30">
        <f t="shared" si="2"/>
        <v>0</v>
      </c>
      <c r="L20" s="30">
        <f t="shared" si="2"/>
        <v>0</v>
      </c>
      <c r="M20" s="30">
        <f t="shared" si="2"/>
        <v>0</v>
      </c>
      <c r="N20" s="30">
        <f t="shared" si="2"/>
        <v>0</v>
      </c>
      <c r="O20" s="30">
        <f t="shared" si="2"/>
        <v>0</v>
      </c>
    </row>
    <row r="21" spans="2:15" s="16" customFormat="1" ht="11.25" customHeight="1" x14ac:dyDescent="0.25">
      <c r="B21" s="35" t="s">
        <v>91</v>
      </c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</row>
    <row r="22" spans="2:15" s="16" customFormat="1" ht="11.25" customHeight="1" x14ac:dyDescent="0.25">
      <c r="B22" s="35" t="s">
        <v>91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</row>
    <row r="23" spans="2:15" s="16" customFormat="1" ht="11.25" customHeight="1" x14ac:dyDescent="0.25">
      <c r="B23" s="35" t="s">
        <v>91</v>
      </c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</row>
    <row r="24" spans="2:15" s="16" customFormat="1" ht="11.25" customHeight="1" x14ac:dyDescent="0.25">
      <c r="B24" s="35" t="s">
        <v>91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</row>
    <row r="25" spans="2:15" s="16" customFormat="1" ht="11.25" customHeight="1" x14ac:dyDescent="0.25">
      <c r="B25" s="35" t="s">
        <v>91</v>
      </c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</row>
    <row r="27" spans="2:15" x14ac:dyDescent="0.25">
      <c r="B27" s="38" t="s">
        <v>68</v>
      </c>
      <c r="C27" s="39"/>
      <c r="D27" s="30" t="str">
        <f>IFERROR(D14+D20,"")</f>
        <v/>
      </c>
      <c r="E27" s="30" t="str">
        <f t="shared" ref="E27:O27" si="3">IFERROR(E14+E20,"")</f>
        <v/>
      </c>
      <c r="F27" s="30" t="str">
        <f t="shared" si="3"/>
        <v/>
      </c>
      <c r="G27" s="30" t="str">
        <f t="shared" si="3"/>
        <v/>
      </c>
      <c r="H27" s="30" t="str">
        <f t="shared" si="3"/>
        <v/>
      </c>
      <c r="I27" s="30" t="str">
        <f t="shared" si="3"/>
        <v/>
      </c>
      <c r="J27" s="30" t="str">
        <f t="shared" si="3"/>
        <v/>
      </c>
      <c r="K27" s="30" t="str">
        <f t="shared" si="3"/>
        <v/>
      </c>
      <c r="L27" s="30" t="str">
        <f t="shared" si="3"/>
        <v/>
      </c>
      <c r="M27" s="30" t="str">
        <f t="shared" si="3"/>
        <v/>
      </c>
      <c r="N27" s="30" t="str">
        <f t="shared" si="3"/>
        <v/>
      </c>
      <c r="O27" s="30" t="str">
        <f t="shared" si="3"/>
        <v/>
      </c>
    </row>
    <row r="29" spans="2:15" x14ac:dyDescent="0.25">
      <c r="B29" s="38" t="s">
        <v>67</v>
      </c>
      <c r="C29" s="39"/>
      <c r="D29" s="30" t="str">
        <f>IFERROR(IF(D12+D27=0,"",D12+D27),"")</f>
        <v/>
      </c>
      <c r="E29" s="30" t="str">
        <f t="shared" ref="E29:O29" si="4">IFERROR(IF(E12+E27=0,"",E12+E27),"")</f>
        <v/>
      </c>
      <c r="F29" s="30" t="str">
        <f t="shared" si="4"/>
        <v/>
      </c>
      <c r="G29" s="30" t="str">
        <f t="shared" si="4"/>
        <v/>
      </c>
      <c r="H29" s="30" t="str">
        <f t="shared" si="4"/>
        <v/>
      </c>
      <c r="I29" s="30" t="str">
        <f t="shared" si="4"/>
        <v/>
      </c>
      <c r="J29" s="30" t="str">
        <f t="shared" si="4"/>
        <v/>
      </c>
      <c r="K29" s="30" t="str">
        <f t="shared" si="4"/>
        <v/>
      </c>
      <c r="L29" s="30" t="str">
        <f t="shared" si="4"/>
        <v/>
      </c>
      <c r="M29" s="30" t="str">
        <f t="shared" si="4"/>
        <v/>
      </c>
      <c r="N29" s="30" t="str">
        <f t="shared" si="4"/>
        <v/>
      </c>
      <c r="O29" s="30" t="str">
        <f t="shared" si="4"/>
        <v/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 t="str">
        <f>IFERROR(D29-D33,"")</f>
        <v/>
      </c>
      <c r="E35" s="6" t="str">
        <f t="shared" ref="E35:O35" si="5">IFERROR(E29-E33,"")</f>
        <v/>
      </c>
      <c r="F35" s="6" t="str">
        <f t="shared" si="5"/>
        <v/>
      </c>
      <c r="G35" s="6" t="str">
        <f t="shared" si="5"/>
        <v/>
      </c>
      <c r="H35" s="6" t="str">
        <f t="shared" si="5"/>
        <v/>
      </c>
      <c r="I35" s="6" t="str">
        <f t="shared" si="5"/>
        <v/>
      </c>
      <c r="J35" s="6" t="str">
        <f t="shared" si="5"/>
        <v/>
      </c>
      <c r="K35" s="6" t="str">
        <f t="shared" si="5"/>
        <v/>
      </c>
      <c r="L35" s="6" t="str">
        <f t="shared" si="5"/>
        <v/>
      </c>
      <c r="M35" s="6" t="str">
        <f t="shared" si="5"/>
        <v/>
      </c>
      <c r="N35" s="6" t="str">
        <f t="shared" si="5"/>
        <v/>
      </c>
      <c r="O35" s="6" t="str">
        <f t="shared" si="5"/>
        <v/>
      </c>
    </row>
  </sheetData>
  <conditionalFormatting sqref="D35:O35">
    <cfRule type="cellIs" dxfId="10" priority="10" operator="lessThan">
      <formula>0</formula>
    </cfRule>
    <cfRule type="cellIs" dxfId="9" priority="11" operator="equal">
      <formula>0</formula>
    </cfRule>
  </conditionalFormatting>
  <conditionalFormatting sqref="D8:O10">
    <cfRule type="containsBlanks" dxfId="8" priority="9">
      <formula>LEN(TRIM(D8))=0</formula>
    </cfRule>
  </conditionalFormatting>
  <conditionalFormatting sqref="D15:O18">
    <cfRule type="containsBlanks" dxfId="7" priority="8">
      <formula>LEN(TRIM(D15))=0</formula>
    </cfRule>
  </conditionalFormatting>
  <conditionalFormatting sqref="D21:O25">
    <cfRule type="containsBlanks" dxfId="6" priority="7">
      <formula>LEN(TRIM(D21))=0</formula>
    </cfRule>
  </conditionalFormatting>
  <conditionalFormatting sqref="D33:O33">
    <cfRule type="containsBlanks" dxfId="5" priority="6">
      <formula>LEN(TRIM(D33))=0</formula>
    </cfRule>
  </conditionalFormatting>
  <conditionalFormatting sqref="D12:O12">
    <cfRule type="cellIs" dxfId="4" priority="5" operator="equal">
      <formula>0</formula>
    </cfRule>
  </conditionalFormatting>
  <conditionalFormatting sqref="D14:O14">
    <cfRule type="cellIs" dxfId="3" priority="4" operator="equal">
      <formula>0</formula>
    </cfRule>
  </conditionalFormatting>
  <conditionalFormatting sqref="D20:O20">
    <cfRule type="cellIs" dxfId="2" priority="3" operator="equal">
      <formula>0</formula>
    </cfRule>
  </conditionalFormatting>
  <conditionalFormatting sqref="D27:O27">
    <cfRule type="cellIs" dxfId="1" priority="2" operator="equal">
      <formula>0</formula>
    </cfRule>
  </conditionalFormatting>
  <conditionalFormatting sqref="D29:O29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dcterms:created xsi:type="dcterms:W3CDTF">2023-06-18T05:50:12Z</dcterms:created>
  <dcterms:modified xsi:type="dcterms:W3CDTF">2023-07-16T11:36:38Z</dcterms:modified>
</cp:coreProperties>
</file>