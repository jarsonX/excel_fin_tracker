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502" documentId="114_{691AB50C-F832-4DBD-AAFC-B716ED9F177B}" xr6:coauthVersionLast="47" xr6:coauthVersionMax="47" xr10:uidLastSave="{3B0882E1-C8E3-4551-A189-0DA58E71A913}"/>
  <bookViews>
    <workbookView xWindow="38280" yWindow="-255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dateCurrMonth">tech_tbls!$T$3</definedName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1" l="1"/>
  <c r="Q11" i="11"/>
  <c r="Q12" i="11"/>
  <c r="Q13" i="11"/>
  <c r="Q14" i="11"/>
  <c r="Q15" i="11"/>
  <c r="Q16" i="11"/>
  <c r="Q17" i="11"/>
  <c r="Q9" i="11"/>
  <c r="Q4" i="11"/>
  <c r="Q3" i="11"/>
  <c r="S3" i="11"/>
  <c r="E12" i="7"/>
  <c r="F12" i="7"/>
  <c r="G12" i="7"/>
  <c r="H12" i="7"/>
  <c r="H34" i="7" s="1"/>
  <c r="I12" i="7"/>
  <c r="J12" i="7"/>
  <c r="K12" i="7"/>
  <c r="L12" i="7"/>
  <c r="M12" i="7"/>
  <c r="N12" i="7"/>
  <c r="O12" i="7"/>
  <c r="D12" i="7"/>
  <c r="D34" i="7" s="1"/>
  <c r="E34" i="7"/>
  <c r="F34" i="7"/>
  <c r="G34" i="7"/>
  <c r="I34" i="7"/>
  <c r="J34" i="7"/>
  <c r="K34" i="7"/>
  <c r="L34" i="7"/>
  <c r="M34" i="7"/>
  <c r="N34" i="7"/>
  <c r="O34" i="7"/>
  <c r="E22" i="7"/>
  <c r="F22" i="7"/>
  <c r="G22" i="7"/>
  <c r="H22" i="7"/>
  <c r="H32" i="7" s="1"/>
  <c r="G4" i="11" s="1"/>
  <c r="I22" i="7"/>
  <c r="J22" i="7"/>
  <c r="K22" i="7"/>
  <c r="L22" i="7"/>
  <c r="L32" i="7" s="1"/>
  <c r="K4" i="11" s="1"/>
  <c r="M22" i="7"/>
  <c r="N22" i="7"/>
  <c r="O22" i="7"/>
  <c r="D22" i="7"/>
  <c r="C15" i="11" s="1"/>
  <c r="E26" i="7"/>
  <c r="F26" i="7"/>
  <c r="F32" i="7" s="1"/>
  <c r="E4" i="11" s="1"/>
  <c r="G26" i="7"/>
  <c r="H26" i="7"/>
  <c r="I26" i="7"/>
  <c r="J26" i="7"/>
  <c r="J32" i="7" s="1"/>
  <c r="I4" i="11" s="1"/>
  <c r="K26" i="7"/>
  <c r="L26" i="7"/>
  <c r="M26" i="7"/>
  <c r="N26" i="7"/>
  <c r="N32" i="7" s="1"/>
  <c r="M4" i="11" s="1"/>
  <c r="O26" i="7"/>
  <c r="D26" i="7"/>
  <c r="E30" i="7"/>
  <c r="F30" i="7"/>
  <c r="G30" i="7"/>
  <c r="G32" i="7" s="1"/>
  <c r="F4" i="11" s="1"/>
  <c r="H30" i="7"/>
  <c r="I30" i="7"/>
  <c r="J30" i="7"/>
  <c r="K30" i="7"/>
  <c r="L30" i="7"/>
  <c r="M30" i="7"/>
  <c r="N30" i="7"/>
  <c r="O30" i="7"/>
  <c r="D30" i="7"/>
  <c r="E32" i="7"/>
  <c r="I32" i="7"/>
  <c r="K32" i="7"/>
  <c r="J4" i="11" s="1"/>
  <c r="M32" i="7"/>
  <c r="L4" i="11" s="1"/>
  <c r="O32" i="7"/>
  <c r="N4" i="11" s="1"/>
  <c r="D3" i="11"/>
  <c r="E3" i="11"/>
  <c r="F3" i="11"/>
  <c r="G3" i="11"/>
  <c r="H3" i="11"/>
  <c r="I3" i="11"/>
  <c r="J3" i="11"/>
  <c r="K3" i="11"/>
  <c r="L3" i="11"/>
  <c r="M3" i="11"/>
  <c r="N3" i="11"/>
  <c r="D4" i="11"/>
  <c r="D5" i="11" s="1"/>
  <c r="H4" i="11"/>
  <c r="H5" i="11" s="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D14" i="11"/>
  <c r="E14" i="11"/>
  <c r="F14" i="11"/>
  <c r="G14" i="11"/>
  <c r="H14" i="11"/>
  <c r="I14" i="11"/>
  <c r="J14" i="11"/>
  <c r="K14" i="11"/>
  <c r="L14" i="11"/>
  <c r="M14" i="11"/>
  <c r="N14" i="11"/>
  <c r="D15" i="11"/>
  <c r="E15" i="11"/>
  <c r="F15" i="11"/>
  <c r="G15" i="11"/>
  <c r="H15" i="11"/>
  <c r="I15" i="11"/>
  <c r="J15" i="11"/>
  <c r="K15" i="11"/>
  <c r="L15" i="11"/>
  <c r="M15" i="11"/>
  <c r="N15" i="11"/>
  <c r="D16" i="11"/>
  <c r="E16" i="11"/>
  <c r="F16" i="11"/>
  <c r="G16" i="11"/>
  <c r="H16" i="11"/>
  <c r="I16" i="11"/>
  <c r="J16" i="11"/>
  <c r="K16" i="11"/>
  <c r="L16" i="11"/>
  <c r="M16" i="11"/>
  <c r="N16" i="11"/>
  <c r="D17" i="11"/>
  <c r="E17" i="11"/>
  <c r="F17" i="11"/>
  <c r="G17" i="11"/>
  <c r="H17" i="11"/>
  <c r="I17" i="11"/>
  <c r="J17" i="11"/>
  <c r="K17" i="11"/>
  <c r="L17" i="11"/>
  <c r="M17" i="11"/>
  <c r="N17" i="11"/>
  <c r="C17" i="11"/>
  <c r="C16" i="11"/>
  <c r="C14" i="11"/>
  <c r="C13" i="11"/>
  <c r="C12" i="11"/>
  <c r="C11" i="11"/>
  <c r="C10" i="11"/>
  <c r="C9" i="11"/>
  <c r="N2" i="11"/>
  <c r="M2" i="11"/>
  <c r="L2" i="11"/>
  <c r="K2" i="11"/>
  <c r="J2" i="11"/>
  <c r="I2" i="11"/>
  <c r="H2" i="11"/>
  <c r="G2" i="11"/>
  <c r="F2" i="11"/>
  <c r="D2" i="11"/>
  <c r="E2" i="11"/>
  <c r="C2" i="11"/>
  <c r="E35" i="10"/>
  <c r="F35" i="10"/>
  <c r="G35" i="10"/>
  <c r="H35" i="10"/>
  <c r="I35" i="10"/>
  <c r="J35" i="10"/>
  <c r="K35" i="10"/>
  <c r="L35" i="10"/>
  <c r="M35" i="10"/>
  <c r="N35" i="10"/>
  <c r="O35" i="10"/>
  <c r="D35" i="10"/>
  <c r="E27" i="10"/>
  <c r="F27" i="10"/>
  <c r="G27" i="10"/>
  <c r="H27" i="10"/>
  <c r="H29" i="10" s="1"/>
  <c r="G21" i="11" s="1"/>
  <c r="G23" i="11" s="1"/>
  <c r="I27" i="10"/>
  <c r="J27" i="10"/>
  <c r="K27" i="10"/>
  <c r="L27" i="10"/>
  <c r="M27" i="10"/>
  <c r="N27" i="10"/>
  <c r="O27" i="10"/>
  <c r="D27" i="10"/>
  <c r="D29" i="10" s="1"/>
  <c r="C21" i="11" s="1"/>
  <c r="E29" i="10"/>
  <c r="F29" i="10"/>
  <c r="G29" i="10"/>
  <c r="I29" i="10"/>
  <c r="J29" i="10"/>
  <c r="I21" i="11" s="1"/>
  <c r="I23" i="11" s="1"/>
  <c r="K29" i="10"/>
  <c r="L29" i="10"/>
  <c r="K21" i="11" s="1"/>
  <c r="K23" i="11" s="1"/>
  <c r="M29" i="10"/>
  <c r="N29" i="10"/>
  <c r="M21" i="11" s="1"/>
  <c r="M23" i="11" s="1"/>
  <c r="O29" i="10"/>
  <c r="D21" i="11"/>
  <c r="E21" i="11"/>
  <c r="F21" i="11"/>
  <c r="F23" i="11" s="1"/>
  <c r="H21" i="11"/>
  <c r="J21" i="11"/>
  <c r="J23" i="11" s="1"/>
  <c r="L21" i="11"/>
  <c r="N21" i="11"/>
  <c r="N23" i="11" s="1"/>
  <c r="D22" i="11"/>
  <c r="E22" i="11"/>
  <c r="F22" i="11"/>
  <c r="G22" i="11"/>
  <c r="H22" i="11"/>
  <c r="I22" i="11"/>
  <c r="J22" i="11"/>
  <c r="K22" i="11"/>
  <c r="L22" i="11"/>
  <c r="M22" i="11"/>
  <c r="N22" i="11"/>
  <c r="E23" i="11"/>
  <c r="C22" i="11"/>
  <c r="P30" i="11"/>
  <c r="D27" i="11"/>
  <c r="E27" i="11"/>
  <c r="F27" i="11"/>
  <c r="G27" i="11"/>
  <c r="H27" i="11"/>
  <c r="I27" i="11"/>
  <c r="J27" i="11"/>
  <c r="K27" i="11"/>
  <c r="L27" i="11"/>
  <c r="M27" i="11"/>
  <c r="N27" i="11"/>
  <c r="D28" i="11"/>
  <c r="E28" i="11"/>
  <c r="F28" i="11"/>
  <c r="G28" i="11"/>
  <c r="H28" i="11"/>
  <c r="I28" i="11"/>
  <c r="J28" i="11"/>
  <c r="K28" i="11"/>
  <c r="L28" i="11"/>
  <c r="M28" i="11"/>
  <c r="N28" i="11"/>
  <c r="D29" i="11"/>
  <c r="E29" i="11"/>
  <c r="F29" i="11"/>
  <c r="G29" i="11"/>
  <c r="H29" i="11"/>
  <c r="I29" i="11"/>
  <c r="J29" i="11"/>
  <c r="K29" i="11"/>
  <c r="L29" i="11"/>
  <c r="M29" i="11"/>
  <c r="N29" i="11"/>
  <c r="D30" i="11"/>
  <c r="E30" i="11"/>
  <c r="F30" i="11"/>
  <c r="G30" i="11"/>
  <c r="H30" i="11"/>
  <c r="I30" i="11"/>
  <c r="J30" i="11"/>
  <c r="K30" i="11"/>
  <c r="L30" i="11"/>
  <c r="M30" i="11"/>
  <c r="N30" i="11"/>
  <c r="C30" i="11"/>
  <c r="C29" i="11"/>
  <c r="C28" i="11"/>
  <c r="C27" i="11"/>
  <c r="T3" i="11" l="1"/>
  <c r="L5" i="11"/>
  <c r="M5" i="11"/>
  <c r="I5" i="11"/>
  <c r="E5" i="11"/>
  <c r="C3" i="11"/>
  <c r="D32" i="7"/>
  <c r="C4" i="11" s="1"/>
  <c r="K5" i="11"/>
  <c r="N5" i="11"/>
  <c r="F5" i="11"/>
  <c r="G5" i="11"/>
  <c r="J5" i="11"/>
  <c r="L23" i="11"/>
  <c r="H23" i="11"/>
  <c r="D23" i="11"/>
  <c r="Q27" i="11" l="1" a="1"/>
  <c r="Q27" i="11" s="1"/>
  <c r="Q28" i="11" a="1"/>
  <c r="Q28" i="11" s="1"/>
  <c r="Q30" i="11" a="1"/>
  <c r="Q30" i="11" s="1"/>
  <c r="Q29" i="11" a="1"/>
  <c r="Q29" i="11" s="1"/>
  <c r="Q21" i="11" a="1"/>
  <c r="Q21" i="11" s="1"/>
  <c r="Q22" i="11" a="1"/>
  <c r="Q22" i="11" s="1"/>
  <c r="Q5" i="11"/>
  <c r="C5" i="11"/>
  <c r="Q32" i="11" l="1"/>
  <c r="Q23" i="11"/>
  <c r="E20" i="10" l="1"/>
  <c r="F20" i="10"/>
  <c r="G20" i="10"/>
  <c r="H20" i="10"/>
  <c r="I20" i="10"/>
  <c r="J20" i="10"/>
  <c r="K20" i="10"/>
  <c r="L20" i="10"/>
  <c r="M20" i="10"/>
  <c r="N20" i="10"/>
  <c r="O20" i="10"/>
  <c r="D20" i="10"/>
  <c r="E14" i="10"/>
  <c r="F14" i="10"/>
  <c r="G14" i="10"/>
  <c r="H14" i="10"/>
  <c r="I14" i="10"/>
  <c r="J14" i="10"/>
  <c r="K14" i="10"/>
  <c r="L14" i="10"/>
  <c r="M14" i="10"/>
  <c r="N14" i="10"/>
  <c r="O14" i="10"/>
  <c r="D14" i="10"/>
  <c r="D9" i="10"/>
  <c r="C32" i="11" s="1"/>
  <c r="D8" i="10"/>
  <c r="E24" i="7"/>
  <c r="D25" i="7"/>
  <c r="E24" i="5"/>
  <c r="I24" i="5"/>
  <c r="D21" i="7"/>
  <c r="Q21" i="7" s="1"/>
  <c r="D24" i="7"/>
  <c r="D28" i="7"/>
  <c r="E19" i="7"/>
  <c r="F19" i="7"/>
  <c r="G19" i="7"/>
  <c r="Q19" i="7" s="1"/>
  <c r="H19" i="7"/>
  <c r="I19" i="7"/>
  <c r="J19" i="7"/>
  <c r="K19" i="7"/>
  <c r="L19" i="7"/>
  <c r="M19" i="7"/>
  <c r="N19" i="7"/>
  <c r="O19" i="7"/>
  <c r="D19" i="7"/>
  <c r="Q24" i="7"/>
  <c r="P14" i="11"/>
  <c r="Q20" i="7"/>
  <c r="O28" i="11"/>
  <c r="P32" i="11"/>
  <c r="P28" i="11"/>
  <c r="P29" i="11"/>
  <c r="P27" i="11"/>
  <c r="P22" i="11"/>
  <c r="P23" i="11"/>
  <c r="P21" i="11"/>
  <c r="P4" i="11"/>
  <c r="P5" i="11"/>
  <c r="P3" i="11"/>
  <c r="P10" i="11"/>
  <c r="P11" i="11"/>
  <c r="P12" i="11"/>
  <c r="P13" i="11"/>
  <c r="P15" i="11"/>
  <c r="P16" i="11"/>
  <c r="P17" i="11"/>
  <c r="P9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2" i="11"/>
  <c r="E32" i="11"/>
  <c r="F32" i="11"/>
  <c r="G32" i="11"/>
  <c r="H32" i="11"/>
  <c r="I32" i="11"/>
  <c r="J32" i="11"/>
  <c r="K32" i="11"/>
  <c r="L32" i="11"/>
  <c r="M32" i="11"/>
  <c r="N32" i="11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9" i="7"/>
  <c r="Q28" i="7"/>
  <c r="Q25" i="7"/>
  <c r="Q17" i="7"/>
  <c r="Q18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B3" i="10"/>
  <c r="B15" i="1"/>
  <c r="D12" i="10" l="1"/>
  <c r="Q30" i="7"/>
  <c r="Q26" i="7"/>
  <c r="Q22" i="7"/>
  <c r="Q24" i="5"/>
  <c r="Q18" i="5" s="1"/>
  <c r="M24" i="5"/>
  <c r="M18" i="5" s="1"/>
  <c r="I18" i="5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T23" i="5"/>
  <c r="V23" i="5" s="1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18" i="5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AR34" i="5" l="1"/>
  <c r="AN33" i="5"/>
  <c r="AP33" i="5" s="1"/>
  <c r="AB34" i="5"/>
  <c r="AB32" i="5"/>
  <c r="AD32" i="5" s="1"/>
  <c r="AR33" i="5"/>
  <c r="AF33" i="5"/>
  <c r="AH33" i="5" s="1"/>
  <c r="AB33" i="5"/>
  <c r="AD33" i="5" s="1"/>
  <c r="AD12" i="5"/>
  <c r="O5" i="10"/>
  <c r="O5" i="7"/>
  <c r="C23" i="11"/>
  <c r="AJ33" i="5"/>
  <c r="AR32" i="5"/>
  <c r="AT32" i="5" s="1"/>
  <c r="AT12" i="5"/>
  <c r="AV33" i="5"/>
  <c r="AX13" i="5"/>
  <c r="AN32" i="5"/>
  <c r="AJ32" i="5"/>
  <c r="AF32" i="5"/>
  <c r="AH32" i="5" s="1"/>
  <c r="AL12" i="5"/>
  <c r="AV32" i="5"/>
  <c r="AX32" i="5" s="1"/>
  <c r="Q32" i="7"/>
  <c r="AF34" i="5"/>
  <c r="D8" i="7"/>
  <c r="F8" i="7"/>
  <c r="E8" i="7"/>
  <c r="G10" i="7"/>
  <c r="K10" i="7"/>
  <c r="J9" i="7"/>
  <c r="AL33" i="5"/>
  <c r="L10" i="7"/>
  <c r="H9" i="7"/>
  <c r="I10" i="7"/>
  <c r="K9" i="7"/>
  <c r="O9" i="7"/>
  <c r="M10" i="7"/>
  <c r="AP32" i="5"/>
  <c r="M9" i="7"/>
  <c r="AX33" i="5"/>
  <c r="O10" i="7"/>
  <c r="I9" i="7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D6" i="5" l="1"/>
  <c r="X6" i="5"/>
  <c r="N5" i="10"/>
  <c r="N5" i="7"/>
  <c r="T6" i="5"/>
  <c r="M5" i="10"/>
  <c r="M5" i="7"/>
  <c r="H6" i="5"/>
  <c r="AF6" i="5"/>
  <c r="L6" i="5"/>
  <c r="P6" i="5"/>
  <c r="L5" i="7"/>
  <c r="L5" i="10"/>
  <c r="AB6" i="5"/>
  <c r="H8" i="7"/>
  <c r="J8" i="7"/>
  <c r="K8" i="7"/>
  <c r="L8" i="7"/>
  <c r="Q10" i="7"/>
  <c r="N8" i="7"/>
  <c r="I8" i="7"/>
  <c r="M8" i="7"/>
  <c r="O8" i="7"/>
  <c r="Q9" i="7"/>
  <c r="G8" i="7"/>
  <c r="BA34" i="5"/>
  <c r="BA32" i="5"/>
  <c r="BC32" i="5" s="1"/>
  <c r="BA33" i="5"/>
  <c r="BC33" i="5" s="1"/>
  <c r="J20" i="11" l="1"/>
  <c r="I20" i="11"/>
  <c r="H20" i="11"/>
  <c r="G26" i="11"/>
  <c r="F26" i="11"/>
  <c r="E26" i="11"/>
  <c r="E8" i="11"/>
  <c r="E20" i="11"/>
  <c r="F5" i="10"/>
  <c r="F5" i="7"/>
  <c r="E5" i="10"/>
  <c r="E5" i="7"/>
  <c r="H5" i="10"/>
  <c r="H5" i="7"/>
  <c r="I5" i="10"/>
  <c r="I5" i="7"/>
  <c r="D20" i="11"/>
  <c r="D8" i="11"/>
  <c r="D26" i="11"/>
  <c r="J5" i="10"/>
  <c r="J5" i="7"/>
  <c r="G5" i="10"/>
  <c r="G5" i="7"/>
  <c r="K5" i="10"/>
  <c r="K5" i="7"/>
  <c r="D5" i="7"/>
  <c r="D5" i="10"/>
  <c r="R21" i="11"/>
  <c r="Q8" i="7"/>
  <c r="Q12" i="7" s="1"/>
  <c r="Q34" i="7" s="1"/>
  <c r="I8" i="11" l="1"/>
  <c r="N26" i="11"/>
  <c r="N20" i="11"/>
  <c r="N8" i="11"/>
  <c r="M26" i="11"/>
  <c r="M20" i="11"/>
  <c r="M8" i="11"/>
  <c r="L26" i="11"/>
  <c r="L8" i="11"/>
  <c r="L20" i="11"/>
  <c r="K26" i="11"/>
  <c r="K20" i="11"/>
  <c r="K8" i="11"/>
  <c r="J26" i="11"/>
  <c r="J8" i="11"/>
  <c r="I26" i="11"/>
  <c r="H26" i="11"/>
  <c r="H8" i="11"/>
  <c r="G20" i="11"/>
  <c r="G8" i="11"/>
  <c r="F8" i="11"/>
  <c r="F20" i="11"/>
  <c r="C8" i="11" l="1"/>
  <c r="C20" i="11"/>
  <c r="C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tc={E6CB27A5-45CD-4773-8B37-7653AE59C1EA}</author>
    <author>tc={337E3526-43AB-47EF-8CE2-F448BBE1AF05}</author>
  </authors>
  <commentList>
    <comment ref="D9" authorId="0" shapeId="0" xr:uid="{E6CB27A5-45CD-4773-8B37-7653AE59C1EA}">
      <text>
        <t>[Threaded comment]
Your version of Excel allows you to read this threaded comment; however, any edits to it will get removed if the file is opened in a newer version of Excel. Learn more: https://go.microsoft.com/fwlink/?linkid=870924
Comment:
    katering</t>
      </text>
    </comment>
    <comment ref="H9" authorId="1" shapeId="0" xr:uid="{337E3526-43AB-47EF-8CE2-F448BBE1AF05}">
      <text>
        <t>[Threaded comment]
Your version of Excel allows you to read this threaded comment; however, any edits to it will get removed if the file is opened in a newer version of Excel. Learn more: https://go.microsoft.com/fwlink/?linkid=870924
Comment:
    Angielski/leki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<sst xmlns="http://schemas.openxmlformats.org/spreadsheetml/2006/main" count="254" uniqueCount="94">
  <si>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</si>
  <si>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</si>
  <si>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</si>
  <si>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</si>
  <si>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</si>
  <si>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</si>
  <si>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</si>
  <si>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</si>
  <si>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</si>
  <si>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</si>
  <si>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</si>
  <si>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</si>
  <si>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</si>
  <si>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</si>
  <si>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</si>
  <si>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</si>
  <si>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</si>
  <si>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</si>
  <si>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</si>
  <si>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</si>
  <si>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</si>
  <si>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</si>
  <si>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</si>
  <si>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</si>
  <si>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</si>
  <si>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</si>
  <si>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</si>
  <si>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</si>
  <si>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</si>
  <si>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</si>
  <si>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</si>
  <si>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</si>
  <si>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</si>
  <si>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</si>
  <si>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</si>
  <si>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</si>
  <si>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</si>
  <si>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</si>
  <si>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</si>
  <si>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</si>
  <si>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</si>
  <si>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</si>
  <si>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</si>
  <si>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</si>
  <si>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</si>
  <si>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</si>
  <si>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</si>
  <si>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</si>
  <si>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</si>
  <si>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</si>
  <si>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</si>
  <si>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</si>
  <si>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</si>
  <si>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</si>
  <si>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</si>
  <si>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</si>
  <si>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</si>
  <si>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</si>
  <si>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</si>
  <si>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</si>
  <si>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</si>
  <si>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</si>
  <si>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</si>
  <si>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</si>
  <si>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</si>
  <si>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</si>
  <si>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</si>
  <si>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</si>
  <si>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</si>
  <si>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</si>
  <si>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</si>
  <si>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</si>
  <si>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</si>
  <si>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</si>
  <si>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</si>
  <si>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</si>
  <si>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</si>
  <si>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</si>
  <si>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</si>
  <si>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</si>
  <si>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</si>
  <si>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</si>
  <si>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</si>
  <si>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</si>
  <si>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</si>
  <si>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</si>
  <si>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</si>
  <si>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</si>
  <si>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Zakupy specjalne</t>
  </si>
  <si>
    <t>&gt;</t>
  </si>
  <si>
    <t>CURR date</t>
  </si>
  <si>
    <t>CURR month</t>
  </si>
  <si>
    <t>Osoba 2</t>
  </si>
  <si>
    <t>Osoba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</si>
</sst>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16" fillId="0" borderId="6" xfId="0" applyNumberFormat="1" applyFont="1" applyBorder="1"/>
    <xf numFmtId="3" fontId="7" fillId="0" borderId="0" xfId="0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tech_tbls!$B$32</c:f>
              <c:strCache>
                <c:ptCount val="1"/>
                <c:pt idx="0">
                  <c:v>Oszczędności i lokaty</c:v>
                </c:pt>
              </c:strCache>
              <c:extLst xmlns:c15="http://schemas.microsoft.com/office/drawing/2012/chart"/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tech_tbls!$C$32:$N$32</c15:sqref>
                  </c15:fullRef>
                </c:ext>
              </c:extLst>
              <c:f>tech_tbls!$C$32</c:f>
              <c:numCache>
                <c:formatCode>#,##0.00</c:formatCode>
                <c:ptCount val="1"/>
                <c:pt idx="0">
                  <c:v>15412.16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  <c:extLst/>
      </c:barChart>
      <c:lineChart>
        <c:grouping val="standard"/>
        <c:varyColors val="0"/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</c:f>
              <c:numCache>
                <c:formatCode>#,##0.00</c:formatCode>
                <c:ptCount val="1"/>
                <c:pt idx="0">
                  <c:v>10020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</c:f>
              <c:numCache>
                <c:formatCode>#,##0.00</c:formatCode>
                <c:ptCount val="1"/>
                <c:pt idx="0">
                  <c:v>6737.3600000000006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</c:f>
              <c:numCache>
                <c:formatCode>#,##0.00</c:formatCode>
                <c:ptCount val="1"/>
                <c:pt idx="0">
                  <c:v>1520.38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</c:f>
              <c:numCache>
                <c:formatCode>#,##0.00</c:formatCode>
                <c:ptCount val="1"/>
                <c:pt idx="0">
                  <c:v>33.29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  <c:extLst xmlns:c15="http://schemas.microsoft.com/office/drawing/2012/chart"/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</c:f>
              <c:numCache>
                <c:formatCode>#,##0.00</c:formatCode>
                <c:ptCount val="1"/>
                <c:pt idx="0">
                  <c:v>54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</c:f>
              <c:numCache>
                <c:formatCode>#,##0.00</c:formatCode>
                <c:ptCount val="1"/>
                <c:pt idx="0">
                  <c:v>2513.1799999999998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tech_tbls!$B$15</c:f>
              <c:strCache>
                <c:ptCount val="1"/>
                <c:pt idx="0">
                  <c:v>Zakupy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tech_tbls!$C$15:$N$15</c15:sqref>
                  </c15:fullRef>
                </c:ext>
              </c:extLst>
              <c:f>tech_tbls!$C$15</c:f>
              <c:numCache>
                <c:formatCode>#,##0.00</c:formatCode>
                <c:ptCount val="1"/>
                <c:pt idx="0">
                  <c:v>5087.8600000000006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tech_tbls!$B$17</c:f>
              <c:strCache>
                <c:ptCount val="1"/>
                <c:pt idx="0">
                  <c:v>Samochód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tech_tbls!$C$17:$N$17</c15:sqref>
                  </c15:fullRef>
                </c:ext>
              </c:extLst>
              <c:f>tech_tbls!$C$17</c:f>
              <c:numCache>
                <c:formatCode>#,##0.00</c:formatCode>
                <c:ptCount val="1"/>
                <c:pt idx="0">
                  <c:v>685.18000000000006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tech_tbls!$B$16</c:f>
              <c:strCache>
                <c:ptCount val="1"/>
                <c:pt idx="0">
                  <c:v>Zakupy specjalne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Styczeń</c:v>
              </c:pt>
              <c:pt idx="1">
                <c:v>Wrzesień</c:v>
              </c:pt>
              <c:pt idx="2">
                <c:v>Październik</c:v>
              </c:pt>
              <c:pt idx="3">
                <c:v>Listopad</c:v>
              </c:pt>
              <c:pt idx="4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tech_tbls!$C$16:$J$16</c15:sqref>
                  </c15:fullRef>
                </c:ext>
              </c:extLst>
              <c:f>tech_tbls!$C$16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  <c:extLst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tech_tbls!$P$21:$P$22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tech_tbls!$Q$21:$Q$22</c:f>
              <c:numCache>
                <c:formatCode>#,##0.00</c:formatCode>
                <c:ptCount val="2"/>
                <c:pt idx="0">
                  <c:v>33913.800000000003</c:v>
                </c:pt>
                <c:pt idx="1">
                  <c:v>329917.15999999997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tech_tbls!$P$27:$P$30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tech_tbls!$Q$27:$Q$30</c:f>
              <c:numCache>
                <c:formatCode>#,##0.00</c:formatCode>
                <c:ptCount val="4"/>
                <c:pt idx="0">
                  <c:v>0</c:v>
                </c:pt>
                <c:pt idx="1">
                  <c:v>15412.16</c:v>
                </c:pt>
                <c:pt idx="2">
                  <c:v>11038.35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1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9%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mi Em" id="{B4E17126-3ADD-4BD1-8764-62ACDD338F93}" userId="d3e65e733caab014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01-29T08:32:48.91" personId="{B4E17126-3ADD-4BD1-8764-62ACDD338F93}" id="{E6CB27A5-45CD-4773-8B37-7653AE59C1EA}">
    <text>katering</text>
  </threadedComment>
  <threadedComment ref="H9" dT="2024-01-29T08:32:31.50" personId="{B4E17126-3ADD-4BD1-8764-62ACDD338F93}" id="{337E3526-43AB-47EF-8CE2-F448BBE1AF05}">
    <text>Angielski/leki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2024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2025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2026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2027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2028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2029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2030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2031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2032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2033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2034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2035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45333.673665740738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A1:T47"/>
  <sheetViews>
    <sheetView workbookViewId="0">
      <selection activeCell="T18" sqref="T18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1:20" x14ac:dyDescent="0.25">
      <c r="A1" s="2"/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</row>
    <row r="2" spans="1:20" x14ac:dyDescent="0.25">
      <c r="C2" s="16" t="str">
        <f>tech!$E22</f>
        <v>Styczeń</v>
      </c>
      <c r="D2" s="16" t="str">
        <f>tech!$E23</f>
        <v>Luty</v>
      </c>
      <c r="E2" s="16" t="str">
        <f>tech!$E24</f>
        <v>Marzec</v>
      </c>
      <c r="F2" s="16" t="str">
        <f>tech!$E25</f>
        <v>Kwiecień</v>
      </c>
      <c r="G2" s="16" t="str">
        <f>tech!$E26</f>
        <v>Maj</v>
      </c>
      <c r="H2" s="16" t="str">
        <f>tech!$E27</f>
        <v>Czerwiec</v>
      </c>
      <c r="I2" s="16" t="str">
        <f>tech!$E28</f>
        <v>Lipiec</v>
      </c>
      <c r="J2" s="16" t="str">
        <f>tech!$E29</f>
        <v>Sierpień</v>
      </c>
      <c r="K2" s="16" t="str">
        <f>tech!$E30</f>
        <v>Wrzesień</v>
      </c>
      <c r="L2" s="16" t="str">
        <f>tech!$E31</f>
        <v>Październik</v>
      </c>
      <c r="M2" s="16" t="str">
        <f>tech!$E32</f>
        <v>Listopad</v>
      </c>
      <c r="N2" s="16" t="str">
        <f>tech!$E33</f>
        <v>Grudzień</v>
      </c>
      <c r="P2" s="16" t="s">
        <v>80</v>
      </c>
      <c r="S2" s="6" t="s">
        <v>90</v>
      </c>
      <c r="T2" s="6" t="s">
        <v>91</v>
      </c>
    </row>
    <row r="3" spans="1:20" x14ac:dyDescent="0.25">
      <c r="B3" s="6" t="s">
        <v>72</v>
      </c>
      <c r="C3" s="6">
        <f>PL!D12</f>
        <v>10020</v>
      </c>
      <c r="D3" s="6">
        <f>PL!E12</f>
        <v>11688</v>
      </c>
      <c r="E3" s="6">
        <f>PL!F12</f>
        <v>0</v>
      </c>
      <c r="F3" s="6">
        <f>PL!G12</f>
        <v>0</v>
      </c>
      <c r="G3" s="6">
        <f>PL!H12</f>
        <v>0</v>
      </c>
      <c r="H3" s="6">
        <f>PL!I12</f>
        <v>0</v>
      </c>
      <c r="I3" s="6">
        <f>PL!J12</f>
        <v>0</v>
      </c>
      <c r="J3" s="6">
        <f>PL!K12</f>
        <v>0</v>
      </c>
      <c r="K3" s="6">
        <f>PL!L12</f>
        <v>0</v>
      </c>
      <c r="L3" s="6">
        <f>PL!M12</f>
        <v>0</v>
      </c>
      <c r="M3" s="6">
        <f>PL!N12</f>
        <v>0</v>
      </c>
      <c r="N3" s="6">
        <f>PL!O12</f>
        <v>0</v>
      </c>
      <c r="P3" s="6" t="str">
        <f>B3</f>
        <v>Wpływy</v>
      </c>
      <c r="Q3" s="6">
        <f>SUM(C3:N3)</f>
        <v>21708</v>
      </c>
      <c r="S3" s="2">
        <f ca="1">TODAY()</f>
        <v>45333</v>
      </c>
      <c r="T3" s="52">
        <f ca="1">MONTH(S3)-1</f>
        <v>1</v>
      </c>
    </row>
    <row r="4" spans="1:20" x14ac:dyDescent="0.25">
      <c r="B4" s="6" t="s">
        <v>73</v>
      </c>
      <c r="C4" s="6">
        <f>PL!D32</f>
        <v>6737.3600000000006</v>
      </c>
      <c r="D4" s="6">
        <f>PL!E32</f>
        <v>319.33999999999997</v>
      </c>
      <c r="E4" s="6">
        <f>PL!F32</f>
        <v>54</v>
      </c>
      <c r="F4" s="6">
        <f>PL!G32</f>
        <v>54</v>
      </c>
      <c r="G4" s="6">
        <f>PL!H32</f>
        <v>54</v>
      </c>
      <c r="H4" s="6">
        <f>PL!I32</f>
        <v>54</v>
      </c>
      <c r="I4" s="6">
        <f>PL!J32</f>
        <v>54</v>
      </c>
      <c r="J4" s="6">
        <f>PL!K32</f>
        <v>54</v>
      </c>
      <c r="K4" s="6">
        <f>PL!L32</f>
        <v>54</v>
      </c>
      <c r="L4" s="6">
        <f>PL!M32</f>
        <v>54</v>
      </c>
      <c r="M4" s="6">
        <f>PL!N32</f>
        <v>54</v>
      </c>
      <c r="N4" s="6">
        <f>PL!O32</f>
        <v>54</v>
      </c>
      <c r="P4" s="6" t="str">
        <f t="shared" ref="P4:P5" si="0">B4</f>
        <v>Koszty</v>
      </c>
      <c r="Q4" s="6">
        <f>SUM(C4:N4)</f>
        <v>7596.7000000000007</v>
      </c>
    </row>
    <row r="5" spans="1:20" x14ac:dyDescent="0.25">
      <c r="B5" s="6" t="s">
        <v>74</v>
      </c>
      <c r="C5" s="6">
        <f>IFERROR(C3-C4,0)</f>
        <v>3282.6399999999994</v>
      </c>
      <c r="D5" s="6">
        <f t="shared" ref="D5:N5" si="1">IFERROR(D3-D4,0)</f>
        <v>11368.66</v>
      </c>
      <c r="E5" s="6">
        <f t="shared" si="1"/>
        <v>-54</v>
      </c>
      <c r="F5" s="6">
        <f t="shared" si="1"/>
        <v>-54</v>
      </c>
      <c r="G5" s="6">
        <f t="shared" si="1"/>
        <v>-54</v>
      </c>
      <c r="H5" s="6">
        <f t="shared" si="1"/>
        <v>-54</v>
      </c>
      <c r="I5" s="6">
        <f t="shared" si="1"/>
        <v>-54</v>
      </c>
      <c r="J5" s="6">
        <f t="shared" si="1"/>
        <v>-54</v>
      </c>
      <c r="K5" s="6">
        <f t="shared" si="1"/>
        <v>-54</v>
      </c>
      <c r="L5" s="6">
        <f t="shared" si="1"/>
        <v>-54</v>
      </c>
      <c r="M5" s="6">
        <f t="shared" si="1"/>
        <v>-54</v>
      </c>
      <c r="N5" s="6">
        <f t="shared" si="1"/>
        <v>-54</v>
      </c>
      <c r="P5" s="6" t="str">
        <f t="shared" si="0"/>
        <v>Zysk lub strata</v>
      </c>
      <c r="Q5" s="6">
        <f>IFERROR(Q3-Q4,0)</f>
        <v>14111.3</v>
      </c>
    </row>
    <row r="7" spans="1:20" x14ac:dyDescent="0.25">
      <c r="B7" s="16" t="s">
        <v>75</v>
      </c>
      <c r="C7" s="51">
        <v>1</v>
      </c>
      <c r="D7" s="51">
        <v>2</v>
      </c>
      <c r="E7" s="51">
        <v>3</v>
      </c>
      <c r="F7" s="51">
        <v>4</v>
      </c>
      <c r="G7" s="51">
        <v>5</v>
      </c>
      <c r="H7" s="51">
        <v>6</v>
      </c>
      <c r="I7" s="51">
        <v>7</v>
      </c>
      <c r="J7" s="51">
        <v>8</v>
      </c>
      <c r="K7" s="51">
        <v>9</v>
      </c>
      <c r="L7" s="51">
        <v>10</v>
      </c>
      <c r="M7" s="51">
        <v>11</v>
      </c>
      <c r="N7" s="51">
        <v>12</v>
      </c>
    </row>
    <row r="8" spans="1:20" x14ac:dyDescent="0.25">
      <c r="C8" s="16" t="str">
        <f>C2</f>
        <v>Styczeń</v>
      </c>
      <c r="D8" s="16" t="str">
        <f t="shared" ref="D8:N8" si="2">D2</f>
        <v>Luty</v>
      </c>
      <c r="E8" s="16" t="str">
        <f t="shared" si="2"/>
        <v>Marzec</v>
      </c>
      <c r="F8" s="16" t="str">
        <f t="shared" si="2"/>
        <v>Kwiecień</v>
      </c>
      <c r="G8" s="16" t="str">
        <f t="shared" si="2"/>
        <v>Maj</v>
      </c>
      <c r="H8" s="16" t="str">
        <f t="shared" si="2"/>
        <v>Czerwiec</v>
      </c>
      <c r="I8" s="16" t="str">
        <f t="shared" si="2"/>
        <v>Lipiec</v>
      </c>
      <c r="J8" s="16" t="str">
        <f t="shared" si="2"/>
        <v>Sierpień</v>
      </c>
      <c r="K8" s="16" t="str">
        <f t="shared" si="2"/>
        <v>Wrzesień</v>
      </c>
      <c r="L8" s="16" t="str">
        <f t="shared" si="2"/>
        <v>Październik</v>
      </c>
      <c r="M8" s="16" t="str">
        <f t="shared" si="2"/>
        <v>Listopad</v>
      </c>
      <c r="N8" s="16" t="str">
        <f t="shared" si="2"/>
        <v>Grudzień</v>
      </c>
      <c r="P8" s="16" t="s">
        <v>80</v>
      </c>
    </row>
    <row r="9" spans="1:20" x14ac:dyDescent="0.25">
      <c r="B9" s="6" t="s">
        <v>50</v>
      </c>
      <c r="C9" s="6">
        <f>PL!D16</f>
        <v>1520.38</v>
      </c>
      <c r="D9" s="6">
        <f>PL!E16</f>
        <v>0</v>
      </c>
      <c r="E9" s="6">
        <f>PL!F16</f>
        <v>0</v>
      </c>
      <c r="F9" s="6">
        <f>PL!G16</f>
        <v>0</v>
      </c>
      <c r="G9" s="6">
        <f>PL!H16</f>
        <v>0</v>
      </c>
      <c r="H9" s="6">
        <f>PL!I16</f>
        <v>0</v>
      </c>
      <c r="I9" s="6">
        <f>PL!J16</f>
        <v>0</v>
      </c>
      <c r="J9" s="6">
        <f>PL!K16</f>
        <v>0</v>
      </c>
      <c r="K9" s="6">
        <f>PL!L16</f>
        <v>0</v>
      </c>
      <c r="L9" s="6">
        <f>PL!M16</f>
        <v>0</v>
      </c>
      <c r="M9" s="6">
        <f>PL!N16</f>
        <v>0</v>
      </c>
      <c r="N9" s="6">
        <f>PL!O16</f>
        <v>0</v>
      </c>
      <c r="P9" s="6" t="str">
        <f>B9</f>
        <v>Czynsz</v>
      </c>
      <c r="Q9" s="6">
        <f>SUM(C9:N9)</f>
        <v>1520.38</v>
      </c>
    </row>
    <row r="10" spans="1:20" x14ac:dyDescent="0.25">
      <c r="B10" s="6" t="s">
        <v>51</v>
      </c>
      <c r="C10" s="6">
        <f>PL!D17</f>
        <v>0</v>
      </c>
      <c r="D10" s="6">
        <f>PL!E17</f>
        <v>0</v>
      </c>
      <c r="E10" s="6">
        <f>PL!F17</f>
        <v>0</v>
      </c>
      <c r="F10" s="6">
        <f>PL!G17</f>
        <v>0</v>
      </c>
      <c r="G10" s="6">
        <f>PL!H17</f>
        <v>0</v>
      </c>
      <c r="H10" s="6">
        <f>PL!I17</f>
        <v>0</v>
      </c>
      <c r="I10" s="6">
        <f>PL!J17</f>
        <v>0</v>
      </c>
      <c r="J10" s="6">
        <f>PL!K17</f>
        <v>0</v>
      </c>
      <c r="K10" s="6">
        <f>PL!L17</f>
        <v>0</v>
      </c>
      <c r="L10" s="6">
        <f>PL!M17</f>
        <v>0</v>
      </c>
      <c r="M10" s="6">
        <f>PL!N17</f>
        <v>0</v>
      </c>
      <c r="N10" s="6">
        <f>PL!O17</f>
        <v>0</v>
      </c>
      <c r="P10" s="6" t="str">
        <f t="shared" ref="P10:P17" si="3">B10</f>
        <v>Prąd</v>
      </c>
      <c r="Q10" s="6">
        <f t="shared" ref="Q10:Q17" si="4">SUM(C10:N10)</f>
        <v>0</v>
      </c>
    </row>
    <row r="11" spans="1:20" x14ac:dyDescent="0.25">
      <c r="B11" s="6" t="s">
        <v>52</v>
      </c>
      <c r="C11" s="6">
        <f>PL!D18</f>
        <v>33.29</v>
      </c>
      <c r="D11" s="6">
        <f>PL!E18</f>
        <v>0</v>
      </c>
      <c r="E11" s="6">
        <f>PL!F18</f>
        <v>0</v>
      </c>
      <c r="F11" s="6">
        <f>PL!G18</f>
        <v>0</v>
      </c>
      <c r="G11" s="6">
        <f>PL!H18</f>
        <v>0</v>
      </c>
      <c r="H11" s="6">
        <f>PL!I18</f>
        <v>0</v>
      </c>
      <c r="I11" s="6">
        <f>PL!J18</f>
        <v>0</v>
      </c>
      <c r="J11" s="6">
        <f>PL!K18</f>
        <v>0</v>
      </c>
      <c r="K11" s="6">
        <f>PL!L18</f>
        <v>0</v>
      </c>
      <c r="L11" s="6">
        <f>PL!M18</f>
        <v>0</v>
      </c>
      <c r="M11" s="6">
        <f>PL!N18</f>
        <v>0</v>
      </c>
      <c r="N11" s="6">
        <f>PL!O18</f>
        <v>0</v>
      </c>
      <c r="P11" s="6" t="str">
        <f t="shared" si="3"/>
        <v>Gaz</v>
      </c>
      <c r="Q11" s="6">
        <f t="shared" si="4"/>
        <v>33.29</v>
      </c>
    </row>
    <row r="12" spans="1:20" x14ac:dyDescent="0.25">
      <c r="B12" s="6" t="s">
        <v>84</v>
      </c>
      <c r="C12" s="6">
        <f>PL!D19</f>
        <v>54</v>
      </c>
      <c r="D12" s="6">
        <f>PL!E19</f>
        <v>54</v>
      </c>
      <c r="E12" s="6">
        <f>PL!F19</f>
        <v>54</v>
      </c>
      <c r="F12" s="6">
        <f>PL!G19</f>
        <v>54</v>
      </c>
      <c r="G12" s="6">
        <f>PL!H19</f>
        <v>54</v>
      </c>
      <c r="H12" s="6">
        <f>PL!I19</f>
        <v>54</v>
      </c>
      <c r="I12" s="6">
        <f>PL!J19</f>
        <v>54</v>
      </c>
      <c r="J12" s="6">
        <f>PL!K19</f>
        <v>54</v>
      </c>
      <c r="K12" s="6">
        <f>PL!L19</f>
        <v>54</v>
      </c>
      <c r="L12" s="6">
        <f>PL!M19</f>
        <v>54</v>
      </c>
      <c r="M12" s="6">
        <f>PL!N19</f>
        <v>54</v>
      </c>
      <c r="N12" s="6">
        <f>PL!O19</f>
        <v>54</v>
      </c>
      <c r="P12" s="6" t="str">
        <f t="shared" si="3"/>
        <v>Internet i TV</v>
      </c>
      <c r="Q12" s="6">
        <f t="shared" si="4"/>
        <v>648</v>
      </c>
    </row>
    <row r="13" spans="1:20" x14ac:dyDescent="0.25">
      <c r="B13" s="6" t="s">
        <v>70</v>
      </c>
      <c r="C13" s="6">
        <f>PL!D20</f>
        <v>2513.1799999999998</v>
      </c>
      <c r="D13" s="6">
        <f>PL!E20</f>
        <v>0</v>
      </c>
      <c r="E13" s="6">
        <f>PL!F20</f>
        <v>0</v>
      </c>
      <c r="F13" s="6">
        <f>PL!G20</f>
        <v>0</v>
      </c>
      <c r="G13" s="6">
        <f>PL!H20</f>
        <v>0</v>
      </c>
      <c r="H13" s="6">
        <f>PL!I20</f>
        <v>0</v>
      </c>
      <c r="I13" s="6">
        <f>PL!J20</f>
        <v>0</v>
      </c>
      <c r="J13" s="6">
        <f>PL!K20</f>
        <v>0</v>
      </c>
      <c r="K13" s="6">
        <f>PL!L20</f>
        <v>0</v>
      </c>
      <c r="L13" s="6">
        <f>PL!M20</f>
        <v>0</v>
      </c>
      <c r="M13" s="6">
        <f>PL!N20</f>
        <v>0</v>
      </c>
      <c r="N13" s="6">
        <f>PL!O20</f>
        <v>0</v>
      </c>
      <c r="P13" s="6" t="str">
        <f t="shared" si="3"/>
        <v>Kredyt</v>
      </c>
      <c r="Q13" s="6">
        <f t="shared" si="4"/>
        <v>2513.1799999999998</v>
      </c>
    </row>
    <row r="14" spans="1:20" x14ac:dyDescent="0.25">
      <c r="B14" s="6" t="s">
        <v>48</v>
      </c>
      <c r="C14" s="6">
        <f>PL!D21</f>
        <v>967.01</v>
      </c>
      <c r="D14" s="6">
        <f>PL!E21</f>
        <v>0</v>
      </c>
      <c r="E14" s="6">
        <f>PL!F21</f>
        <v>0</v>
      </c>
      <c r="F14" s="6">
        <f>PL!G21</f>
        <v>0</v>
      </c>
      <c r="G14" s="6">
        <f>PL!H21</f>
        <v>0</v>
      </c>
      <c r="H14" s="6">
        <f>PL!I21</f>
        <v>0</v>
      </c>
      <c r="I14" s="6">
        <f>PL!J21</f>
        <v>0</v>
      </c>
      <c r="J14" s="6">
        <f>PL!K21</f>
        <v>0</v>
      </c>
      <c r="K14" s="6">
        <f>PL!L21</f>
        <v>0</v>
      </c>
      <c r="L14" s="6">
        <f>PL!M21</f>
        <v>0</v>
      </c>
      <c r="M14" s="6">
        <f>PL!N21</f>
        <v>0</v>
      </c>
      <c r="N14" s="6">
        <f>PL!O21</f>
        <v>0</v>
      </c>
      <c r="P14" s="6" t="str">
        <f t="shared" ref="P14" si="5">B14</f>
        <v>Inne</v>
      </c>
      <c r="Q14" s="6">
        <f t="shared" si="4"/>
        <v>967.01</v>
      </c>
    </row>
    <row r="15" spans="1:20" x14ac:dyDescent="0.25">
      <c r="B15" s="6" t="s">
        <v>76</v>
      </c>
      <c r="C15" s="6">
        <f>PL!D22</f>
        <v>5087.8600000000006</v>
      </c>
      <c r="D15" s="6">
        <f>PL!E22</f>
        <v>54</v>
      </c>
      <c r="E15" s="6">
        <f>PL!F22</f>
        <v>54</v>
      </c>
      <c r="F15" s="6">
        <f>PL!G22</f>
        <v>54</v>
      </c>
      <c r="G15" s="6">
        <f>PL!H22</f>
        <v>54</v>
      </c>
      <c r="H15" s="6">
        <f>PL!I22</f>
        <v>54</v>
      </c>
      <c r="I15" s="6">
        <f>PL!J22</f>
        <v>54</v>
      </c>
      <c r="J15" s="6">
        <f>PL!K22</f>
        <v>54</v>
      </c>
      <c r="K15" s="6">
        <f>PL!L22</f>
        <v>54</v>
      </c>
      <c r="L15" s="6">
        <f>PL!M22</f>
        <v>54</v>
      </c>
      <c r="M15" s="6">
        <f>PL!N22</f>
        <v>54</v>
      </c>
      <c r="N15" s="6">
        <f>PL!O22</f>
        <v>54</v>
      </c>
      <c r="P15" s="6" t="str">
        <f t="shared" si="3"/>
        <v>Zakupy</v>
      </c>
      <c r="Q15" s="6">
        <f t="shared" si="4"/>
        <v>5681.8600000000006</v>
      </c>
    </row>
    <row r="16" spans="1:20" x14ac:dyDescent="0.25">
      <c r="B16" s="6" t="s">
        <v>88</v>
      </c>
      <c r="C16" s="6">
        <f>PL!D23</f>
        <v>0</v>
      </c>
      <c r="D16" s="6">
        <f>PL!E23</f>
        <v>0</v>
      </c>
      <c r="E16" s="6">
        <f>PL!F23</f>
        <v>0</v>
      </c>
      <c r="F16" s="6">
        <f>PL!G23</f>
        <v>0</v>
      </c>
      <c r="G16" s="6">
        <f>PL!H23</f>
        <v>0</v>
      </c>
      <c r="H16" s="6">
        <f>PL!I23</f>
        <v>0</v>
      </c>
      <c r="I16" s="6">
        <f>PL!J23</f>
        <v>0</v>
      </c>
      <c r="J16" s="6">
        <f>PL!K23</f>
        <v>0</v>
      </c>
      <c r="K16" s="6">
        <f>PL!L23</f>
        <v>0</v>
      </c>
      <c r="L16" s="6">
        <f>PL!M23</f>
        <v>0</v>
      </c>
      <c r="M16" s="6">
        <f>PL!N23</f>
        <v>0</v>
      </c>
      <c r="N16" s="6">
        <f>PL!O23</f>
        <v>0</v>
      </c>
      <c r="P16" s="6" t="str">
        <f t="shared" si="3"/>
        <v>Zakupy specjalne</v>
      </c>
      <c r="Q16" s="6">
        <f t="shared" si="4"/>
        <v>0</v>
      </c>
    </row>
    <row r="17" spans="2:18" x14ac:dyDescent="0.25">
      <c r="B17" s="6" t="s">
        <v>55</v>
      </c>
      <c r="C17" s="6">
        <f>PL!D24</f>
        <v>685.18000000000006</v>
      </c>
      <c r="D17" s="6">
        <f>PL!E24</f>
        <v>265.33999999999997</v>
      </c>
      <c r="E17" s="6">
        <f>PL!F24</f>
        <v>0</v>
      </c>
      <c r="F17" s="6">
        <f>PL!G24</f>
        <v>0</v>
      </c>
      <c r="G17" s="6">
        <f>PL!H24</f>
        <v>0</v>
      </c>
      <c r="H17" s="6">
        <f>PL!I24</f>
        <v>0</v>
      </c>
      <c r="I17" s="6">
        <f>PL!J24</f>
        <v>0</v>
      </c>
      <c r="J17" s="6">
        <f>PL!K24</f>
        <v>0</v>
      </c>
      <c r="K17" s="6">
        <f>PL!L24</f>
        <v>0</v>
      </c>
      <c r="L17" s="6">
        <f>PL!M24</f>
        <v>0</v>
      </c>
      <c r="M17" s="6">
        <f>PL!N24</f>
        <v>0</v>
      </c>
      <c r="N17" s="6">
        <f>PL!O24</f>
        <v>0</v>
      </c>
      <c r="P17" s="6" t="str">
        <f t="shared" si="3"/>
        <v>Samochód</v>
      </c>
      <c r="Q17" s="6">
        <f t="shared" si="4"/>
        <v>950.52</v>
      </c>
    </row>
    <row r="19" spans="2:18" x14ac:dyDescent="0.25">
      <c r="B19" s="16" t="s">
        <v>77</v>
      </c>
      <c r="C19" s="51">
        <v>1</v>
      </c>
      <c r="D19" s="51">
        <v>2</v>
      </c>
      <c r="E19" s="51">
        <v>3</v>
      </c>
      <c r="F19" s="51">
        <v>4</v>
      </c>
      <c r="G19" s="51">
        <v>5</v>
      </c>
      <c r="H19" s="51">
        <v>6</v>
      </c>
      <c r="I19" s="51">
        <v>7</v>
      </c>
      <c r="J19" s="51">
        <v>8</v>
      </c>
      <c r="K19" s="51">
        <v>9</v>
      </c>
      <c r="L19" s="51">
        <v>10</v>
      </c>
      <c r="M19" s="51">
        <v>11</v>
      </c>
      <c r="N19" s="51">
        <v>12</v>
      </c>
    </row>
    <row r="20" spans="2:18" x14ac:dyDescent="0.25">
      <c r="B20" s="16"/>
      <c r="C20" s="16" t="str">
        <f>C2</f>
        <v>Styczeń</v>
      </c>
      <c r="D20" s="16" t="str">
        <f t="shared" ref="D20:N20" si="6">D2</f>
        <v>Luty</v>
      </c>
      <c r="E20" s="16" t="str">
        <f t="shared" si="6"/>
        <v>Marzec</v>
      </c>
      <c r="F20" s="16" t="str">
        <f t="shared" si="6"/>
        <v>Kwiecień</v>
      </c>
      <c r="G20" s="16" t="str">
        <f t="shared" si="6"/>
        <v>Maj</v>
      </c>
      <c r="H20" s="16" t="str">
        <f t="shared" si="6"/>
        <v>Czerwiec</v>
      </c>
      <c r="I20" s="16" t="str">
        <f t="shared" si="6"/>
        <v>Lipiec</v>
      </c>
      <c r="J20" s="16" t="str">
        <f t="shared" si="6"/>
        <v>Sierpień</v>
      </c>
      <c r="K20" s="16" t="str">
        <f t="shared" si="6"/>
        <v>Wrzesień</v>
      </c>
      <c r="L20" s="16" t="str">
        <f t="shared" si="6"/>
        <v>Październik</v>
      </c>
      <c r="M20" s="16" t="str">
        <f t="shared" si="6"/>
        <v>Listopad</v>
      </c>
      <c r="N20" s="16" t="str">
        <f t="shared" si="6"/>
        <v>Grudzień</v>
      </c>
      <c r="P20" s="16" t="s">
        <v>79</v>
      </c>
    </row>
    <row r="21" spans="2:18" x14ac:dyDescent="0.25">
      <c r="B21" s="6" t="s">
        <v>82</v>
      </c>
      <c r="C21" s="6">
        <f>BS!D29</f>
        <v>33913.800000000003</v>
      </c>
      <c r="D21" s="6">
        <f>BS!E29</f>
        <v>0</v>
      </c>
      <c r="E21" s="6">
        <f>BS!F29</f>
        <v>0</v>
      </c>
      <c r="F21" s="6">
        <f>BS!G29</f>
        <v>0</v>
      </c>
      <c r="G21" s="6">
        <f>BS!H29</f>
        <v>0</v>
      </c>
      <c r="H21" s="6">
        <f>BS!I29</f>
        <v>0</v>
      </c>
      <c r="I21" s="6">
        <f>BS!J29</f>
        <v>0</v>
      </c>
      <c r="J21" s="6">
        <f>BS!K29</f>
        <v>0</v>
      </c>
      <c r="K21" s="6">
        <f>BS!L29</f>
        <v>0</v>
      </c>
      <c r="L21" s="6">
        <f>BS!M29</f>
        <v>0</v>
      </c>
      <c r="M21" s="6">
        <f>BS!N29</f>
        <v>0</v>
      </c>
      <c r="N21" s="6">
        <f>BS!O29</f>
        <v>0</v>
      </c>
      <c r="P21" s="6" t="str">
        <f>B21</f>
        <v>Aktywa</v>
      </c>
      <c r="Q21" s="6" cm="1">
        <f t="array" aca="1" ref="Q21" ca="1">INDEX(C21:N21,dateCurrMonth)</f>
        <v>33913.800000000003</v>
      </c>
      <c r="R21" s="46">
        <f ca="1">Q21/(SUM(Q21:Q22))</f>
        <v>9.321306795881254E-2</v>
      </c>
    </row>
    <row r="22" spans="2:18" x14ac:dyDescent="0.25">
      <c r="B22" s="6" t="s">
        <v>83</v>
      </c>
      <c r="C22" s="6">
        <f>BS!D33</f>
        <v>329917.15999999997</v>
      </c>
      <c r="D22" s="6">
        <f>BS!E33</f>
        <v>0</v>
      </c>
      <c r="E22" s="6">
        <f>BS!F33</f>
        <v>0</v>
      </c>
      <c r="F22" s="6">
        <f>BS!G33</f>
        <v>0</v>
      </c>
      <c r="G22" s="6">
        <f>BS!H33</f>
        <v>0</v>
      </c>
      <c r="H22" s="6">
        <f>BS!I33</f>
        <v>0</v>
      </c>
      <c r="I22" s="6">
        <f>BS!J33</f>
        <v>0</v>
      </c>
      <c r="J22" s="6">
        <f>BS!K33</f>
        <v>0</v>
      </c>
      <c r="K22" s="6">
        <f>BS!L33</f>
        <v>0</v>
      </c>
      <c r="L22" s="6">
        <f>BS!M33</f>
        <v>0</v>
      </c>
      <c r="M22" s="6">
        <f>BS!N33</f>
        <v>0</v>
      </c>
      <c r="N22" s="6">
        <f>BS!O33</f>
        <v>0</v>
      </c>
      <c r="P22" s="6" t="str">
        <f t="shared" ref="P22:P23" si="7">B22</f>
        <v>Pasywa</v>
      </c>
      <c r="Q22" s="6" cm="1">
        <f t="array" aca="1" ref="Q22" ca="1">INDEX(C22:N22,dateCurrMonth)</f>
        <v>329917.15999999997</v>
      </c>
    </row>
    <row r="23" spans="2:18" x14ac:dyDescent="0.25">
      <c r="B23" s="6" t="s">
        <v>85</v>
      </c>
      <c r="C23" s="6">
        <f>IFERROR(C21-C22,"")</f>
        <v>-296003.36</v>
      </c>
      <c r="D23" s="6">
        <f t="shared" ref="D23:N23" si="8">IFERROR(D21-D22,"")</f>
        <v>0</v>
      </c>
      <c r="E23" s="6">
        <f t="shared" si="8"/>
        <v>0</v>
      </c>
      <c r="F23" s="6">
        <f t="shared" si="8"/>
        <v>0</v>
      </c>
      <c r="G23" s="6">
        <f t="shared" si="8"/>
        <v>0</v>
      </c>
      <c r="H23" s="6">
        <f t="shared" si="8"/>
        <v>0</v>
      </c>
      <c r="I23" s="6">
        <f t="shared" si="8"/>
        <v>0</v>
      </c>
      <c r="J23" s="6">
        <f t="shared" si="8"/>
        <v>0</v>
      </c>
      <c r="K23" s="6">
        <f t="shared" si="8"/>
        <v>0</v>
      </c>
      <c r="L23" s="6">
        <f t="shared" si="8"/>
        <v>0</v>
      </c>
      <c r="M23" s="6">
        <f t="shared" si="8"/>
        <v>0</v>
      </c>
      <c r="N23" s="6">
        <f t="shared" si="8"/>
        <v>0</v>
      </c>
      <c r="P23" s="6" t="str">
        <f t="shared" si="7"/>
        <v>Netto</v>
      </c>
      <c r="Q23" s="6">
        <f ca="1">IFERROR(Q21-Q22,0)</f>
        <v>-296003.36</v>
      </c>
    </row>
    <row r="25" spans="2:18" x14ac:dyDescent="0.25">
      <c r="B25" s="16" t="s">
        <v>78</v>
      </c>
      <c r="C25" s="51">
        <v>1</v>
      </c>
      <c r="D25" s="51">
        <v>2</v>
      </c>
      <c r="E25" s="51">
        <v>3</v>
      </c>
      <c r="F25" s="51">
        <v>4</v>
      </c>
      <c r="G25" s="51">
        <v>5</v>
      </c>
      <c r="H25" s="51">
        <v>6</v>
      </c>
      <c r="I25" s="51">
        <v>7</v>
      </c>
      <c r="J25" s="51">
        <v>8</v>
      </c>
      <c r="K25" s="51">
        <v>9</v>
      </c>
      <c r="L25" s="51">
        <v>10</v>
      </c>
      <c r="M25" s="51">
        <v>11</v>
      </c>
      <c r="N25" s="51">
        <v>12</v>
      </c>
    </row>
    <row r="26" spans="2:18" x14ac:dyDescent="0.25">
      <c r="B26" s="16"/>
      <c r="C26" s="16" t="str">
        <f>C2</f>
        <v>Styczeń</v>
      </c>
      <c r="D26" s="16" t="str">
        <f t="shared" ref="D26:N26" si="9">D2</f>
        <v>Luty</v>
      </c>
      <c r="E26" s="16" t="str">
        <f t="shared" si="9"/>
        <v>Marzec</v>
      </c>
      <c r="F26" s="16" t="str">
        <f t="shared" si="9"/>
        <v>Kwiecień</v>
      </c>
      <c r="G26" s="16" t="str">
        <f t="shared" si="9"/>
        <v>Maj</v>
      </c>
      <c r="H26" s="16" t="str">
        <f t="shared" si="9"/>
        <v>Czerwiec</v>
      </c>
      <c r="I26" s="16" t="str">
        <f t="shared" si="9"/>
        <v>Lipiec</v>
      </c>
      <c r="J26" s="16" t="str">
        <f t="shared" si="9"/>
        <v>Sierpień</v>
      </c>
      <c r="K26" s="16" t="str">
        <f t="shared" si="9"/>
        <v>Wrzesień</v>
      </c>
      <c r="L26" s="16" t="str">
        <f t="shared" si="9"/>
        <v>Październik</v>
      </c>
      <c r="M26" s="16" t="str">
        <f t="shared" si="9"/>
        <v>Listopad</v>
      </c>
      <c r="N26" s="16" t="str">
        <f t="shared" si="9"/>
        <v>Grudzień</v>
      </c>
      <c r="P26" s="16" t="s">
        <v>79</v>
      </c>
    </row>
    <row r="27" spans="2:18" x14ac:dyDescent="0.25">
      <c r="B27" s="6" t="s">
        <v>63</v>
      </c>
      <c r="C27" s="6">
        <f>BS!D10</f>
        <v>0</v>
      </c>
      <c r="D27" s="6">
        <f>BS!E10</f>
        <v>0</v>
      </c>
      <c r="E27" s="6">
        <f>BS!F10</f>
        <v>0</v>
      </c>
      <c r="F27" s="6">
        <f>BS!G10</f>
        <v>0</v>
      </c>
      <c r="G27" s="6">
        <f>BS!H10</f>
        <v>0</v>
      </c>
      <c r="H27" s="6">
        <f>BS!I10</f>
        <v>0</v>
      </c>
      <c r="I27" s="6">
        <f>BS!J10</f>
        <v>0</v>
      </c>
      <c r="J27" s="6">
        <f>BS!K10</f>
        <v>0</v>
      </c>
      <c r="K27" s="6">
        <f>BS!L10</f>
        <v>0</v>
      </c>
      <c r="L27" s="6">
        <f>BS!M10</f>
        <v>0</v>
      </c>
      <c r="M27" s="6">
        <f>BS!N10</f>
        <v>0</v>
      </c>
      <c r="N27" s="6">
        <f>BS!O10</f>
        <v>0</v>
      </c>
      <c r="P27" s="6" t="str">
        <f>B27</f>
        <v>Lokaty</v>
      </c>
      <c r="Q27" s="6" cm="1">
        <f t="array" aca="1" ref="Q27" ca="1">INDEX(C27:N27,dateCurrMonth)</f>
        <v>0</v>
      </c>
    </row>
    <row r="28" spans="2:18" x14ac:dyDescent="0.25">
      <c r="B28" s="6" t="s">
        <v>1</v>
      </c>
      <c r="C28" s="6">
        <f>BS!D9</f>
        <v>15412.16</v>
      </c>
      <c r="D28" s="6">
        <f>BS!E9</f>
        <v>0</v>
      </c>
      <c r="E28" s="6">
        <f>BS!F9</f>
        <v>0</v>
      </c>
      <c r="F28" s="6">
        <f>BS!G9</f>
        <v>0</v>
      </c>
      <c r="G28" s="6">
        <f>BS!H9</f>
        <v>0</v>
      </c>
      <c r="H28" s="6">
        <f>BS!I9</f>
        <v>0</v>
      </c>
      <c r="I28" s="6">
        <f>BS!J9</f>
        <v>0</v>
      </c>
      <c r="J28" s="6">
        <f>BS!K9</f>
        <v>0</v>
      </c>
      <c r="K28" s="6">
        <f>BS!L9</f>
        <v>0</v>
      </c>
      <c r="L28" s="6">
        <f>BS!M9</f>
        <v>0</v>
      </c>
      <c r="M28" s="6">
        <f>BS!N9</f>
        <v>0</v>
      </c>
      <c r="N28" s="6">
        <f>BS!O9</f>
        <v>0</v>
      </c>
      <c r="O28" s="6" t="str">
        <f>IF(BS!P9="","",BS!P9)</f>
        <v/>
      </c>
      <c r="P28" s="6" t="str">
        <f t="shared" ref="P28:P30" si="10">B28</f>
        <v>Oszczędności</v>
      </c>
      <c r="Q28" s="6" cm="1">
        <f t="array" aca="1" ref="Q28" ca="1">INDEX(C28:N28,dateCurrMonth)</f>
        <v>15412.16</v>
      </c>
    </row>
    <row r="29" spans="2:18" x14ac:dyDescent="0.25">
      <c r="B29" s="6" t="s">
        <v>65</v>
      </c>
      <c r="C29" s="6">
        <f>BS!D20</f>
        <v>11038.35</v>
      </c>
      <c r="D29" s="6">
        <f>BS!E20</f>
        <v>0</v>
      </c>
      <c r="E29" s="6">
        <f>BS!F20</f>
        <v>0</v>
      </c>
      <c r="F29" s="6">
        <f>BS!G20</f>
        <v>0</v>
      </c>
      <c r="G29" s="6">
        <f>BS!H20</f>
        <v>0</v>
      </c>
      <c r="H29" s="6">
        <f>BS!I20</f>
        <v>0</v>
      </c>
      <c r="I29" s="6">
        <f>BS!J20</f>
        <v>0</v>
      </c>
      <c r="J29" s="6">
        <f>BS!K20</f>
        <v>0</v>
      </c>
      <c r="K29" s="6">
        <f>BS!L20</f>
        <v>0</v>
      </c>
      <c r="L29" s="6">
        <f>BS!M20</f>
        <v>0</v>
      </c>
      <c r="M29" s="6">
        <f>BS!N20</f>
        <v>0</v>
      </c>
      <c r="N29" s="6">
        <f>BS!O20</f>
        <v>0</v>
      </c>
      <c r="P29" s="6" t="str">
        <f t="shared" si="10"/>
        <v>Fundusze</v>
      </c>
      <c r="Q29" s="6" cm="1">
        <f t="array" aca="1" ref="Q29" ca="1">INDEX(C29:N29,dateCurrMonth)</f>
        <v>11038.35</v>
      </c>
    </row>
    <row r="30" spans="2:18" x14ac:dyDescent="0.25">
      <c r="B30" s="6" t="s">
        <v>64</v>
      </c>
      <c r="C30" s="6">
        <f>BS!D14</f>
        <v>0</v>
      </c>
      <c r="D30" s="6">
        <f>BS!E14</f>
        <v>0</v>
      </c>
      <c r="E30" s="6">
        <f>BS!F14</f>
        <v>0</v>
      </c>
      <c r="F30" s="6">
        <f>BS!G14</f>
        <v>0</v>
      </c>
      <c r="G30" s="6">
        <f>BS!H14</f>
        <v>0</v>
      </c>
      <c r="H30" s="6">
        <f>BS!I14</f>
        <v>0</v>
      </c>
      <c r="I30" s="6">
        <f>BS!J14</f>
        <v>0</v>
      </c>
      <c r="J30" s="6">
        <f>BS!K14</f>
        <v>0</v>
      </c>
      <c r="K30" s="6">
        <f>BS!L14</f>
        <v>0</v>
      </c>
      <c r="L30" s="6">
        <f>BS!M14</f>
        <v>0</v>
      </c>
      <c r="M30" s="6">
        <f>BS!N14</f>
        <v>0</v>
      </c>
      <c r="N30" s="6">
        <f>BS!O14</f>
        <v>0</v>
      </c>
      <c r="P30" s="6" t="str">
        <f t="shared" si="10"/>
        <v>Akcje</v>
      </c>
      <c r="Q30" s="6" cm="1">
        <f t="array" aca="1" ref="Q30" ca="1">INDEX(C30:N30,dateCurrMonth)</f>
        <v>0</v>
      </c>
    </row>
    <row r="32" spans="2:18" x14ac:dyDescent="0.25">
      <c r="B32" s="6" t="s">
        <v>81</v>
      </c>
      <c r="C32" s="6">
        <f>IF(AND(BS!D9="",BS!D10=""),"",BS!D9+BS!D10)</f>
        <v>15412.16</v>
      </c>
      <c r="D32" s="6" t="str">
        <f>IF(AND(BS!E9="",BS!E10=""),"",BS!E9+BS!E10)</f>
        <v/>
      </c>
      <c r="E32" s="6" t="str">
        <f>IF(AND(BS!F9="",BS!F10=""),"",BS!F9+BS!F10)</f>
        <v/>
      </c>
      <c r="F32" s="6" t="str">
        <f>IF(AND(BS!G9="",BS!G10=""),"",BS!G9+BS!G10)</f>
        <v/>
      </c>
      <c r="G32" s="6" t="str">
        <f>IF(AND(BS!H9="",BS!H10=""),"",BS!H9+BS!H10)</f>
        <v/>
      </c>
      <c r="H32" s="6" t="str">
        <f>IF(AND(BS!I9="",BS!I10=""),"",BS!I9+BS!I10)</f>
        <v/>
      </c>
      <c r="I32" s="6" t="str">
        <f>IF(AND(BS!J9="",BS!J10=""),"",BS!J9+BS!J10)</f>
        <v/>
      </c>
      <c r="J32" s="6" t="str">
        <f>IF(AND(BS!K9="",BS!K10=""),"",BS!K9+BS!K10)</f>
        <v/>
      </c>
      <c r="K32" s="6" t="str">
        <f>IF(AND(BS!L9="",BS!L10=""),"",BS!L9+BS!L10)</f>
        <v/>
      </c>
      <c r="L32" s="6" t="str">
        <f>IF(AND(BS!M9="",BS!M10=""),"",BS!M9+BS!M10)</f>
        <v/>
      </c>
      <c r="M32" s="6" t="str">
        <f>IF(AND(BS!N9="",BS!N10=""),"",BS!N9+BS!N10)</f>
        <v/>
      </c>
      <c r="N32" s="6" t="str">
        <f>IF(AND(BS!O9="",BS!O10=""),"",BS!O9+BS!O10)</f>
        <v/>
      </c>
      <c r="P32" s="6" t="str">
        <f>B32</f>
        <v>Oszczędności i lokaty</v>
      </c>
      <c r="Q32" s="6">
        <f ca="1">Q27+Q28</f>
        <v>15412.16</v>
      </c>
    </row>
    <row r="36" spans="2:2" x14ac:dyDescent="0.25">
      <c r="B36" s="47"/>
    </row>
    <row r="47" spans="2:2" x14ac:dyDescent="0.25">
      <c r="B47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ColWidth="9.140625" defaultRowHeight="15" x14ac:dyDescent="0.25"/>
  <cols>
    <col min="1" max="1" width="3.7109375" customWidth="1"/>
    <col min="2" max="2" width="4.7109375" customWidth="1"/>
    <col min="3" max="3" width="12.5703125" bestFit="1" customWidth="1"/>
    <col min="4" max="6" width="8.85546875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0.65</v>
      </c>
    </row>
    <row r="17" spans="2:6" x14ac:dyDescent="0.25">
      <c r="C17" t="s">
        <v>1</v>
      </c>
      <c r="D17">
        <v>0.2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45"/>
  <sheetViews>
    <sheetView showGridLines="0" topLeftCell="A3" zoomScaleNormal="100" workbookViewId="0">
      <selection activeCell="B7" sqref="B7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93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7214</v>
      </c>
      <c r="E8" s="14" t="str">
        <f>IF(D8="","",IF(E14&gt;D8,"REAL &gt; Wypłata!",""))</f>
        <v/>
      </c>
      <c r="H8" s="7">
        <v>7627</v>
      </c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>
        <f>IF(D8="","",SUM(D8:AX8))</f>
        <v>14841</v>
      </c>
    </row>
    <row r="9" spans="2:56" x14ac:dyDescent="0.25">
      <c r="B9" t="s">
        <v>37</v>
      </c>
      <c r="D9" s="7">
        <v>2200</v>
      </c>
      <c r="H9" s="7">
        <v>800</v>
      </c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>
        <f>IF(D9="","",SUM(D9:AX9))</f>
        <v>3000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2489.1000000000004</v>
      </c>
      <c r="E12" s="10">
        <v>2500</v>
      </c>
      <c r="F12" s="10">
        <f>IFERROR(IF(E12="","",E12-D12),"")</f>
        <v>10.899999999999636</v>
      </c>
      <c r="H12" s="10">
        <f>IF(H8="","",H8*rate_home-H9)</f>
        <v>4157.55</v>
      </c>
      <c r="I12" s="10">
        <v>4158</v>
      </c>
      <c r="J12" s="10">
        <f>IFERROR(IF(I12="","",I12-H12),"")</f>
        <v>0.4499999999998181</v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>
        <f>IF(D12="","",SUM(D12,H12,L12,P12,T12,X12,AB12,AF12,AJ12,AN12,AR12,AV12))</f>
        <v>6646.6500000000005</v>
      </c>
      <c r="BB12" s="10">
        <f>IF(E12="","",SUM(E12,I12,M12,Q12,U12,Y12,AC12,AG12,AK12,AO12,AS12,AW12))</f>
        <v>6658</v>
      </c>
      <c r="BC12" s="10">
        <f>IFERROR(IF(BB12="","",BB12-BA12),"")</f>
        <v>11.349999999999454</v>
      </c>
    </row>
    <row r="13" spans="2:56" x14ac:dyDescent="0.25">
      <c r="B13" t="s">
        <v>1</v>
      </c>
      <c r="D13" s="10">
        <f>IF(D8="","",D8*rate_savings)</f>
        <v>1442.8000000000002</v>
      </c>
      <c r="E13" s="10">
        <v>1500</v>
      </c>
      <c r="F13" s="10">
        <f>IFERROR(IF(E13="","",E13-D13),"")</f>
        <v>57.199999999999818</v>
      </c>
      <c r="H13" s="10">
        <f>IF(H8="","",H8*rate_savings)</f>
        <v>1525.4</v>
      </c>
      <c r="I13" s="10">
        <v>1526</v>
      </c>
      <c r="J13" s="10">
        <f>IFERROR(IF(I13="","",I13-H13),"")</f>
        <v>0.59999999999990905</v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>
        <f>IF(D13="","",SUM(D13,H13,L13,P13,T13,X13,AB13,AF13,AJ13,AN13,AR13,AV13))</f>
        <v>2968.2000000000003</v>
      </c>
      <c r="BB13" s="10">
        <f>IF(E13="","",SUM(E13,I13,M13,Q13,U13,Y13,AC13,AG13,AK13,AO13,AS13,AW13))</f>
        <v>3026</v>
      </c>
      <c r="BC13" s="10">
        <f>IFERROR(IF(BB13="","",BB13-BA13),"")</f>
        <v>57.799999999999727</v>
      </c>
    </row>
    <row r="14" spans="2:56" x14ac:dyDescent="0.25">
      <c r="B14" t="s">
        <v>2</v>
      </c>
      <c r="D14" s="10">
        <f>IF(D8="","",D8*rate_fun)</f>
        <v>1082.0999999999999</v>
      </c>
      <c r="E14" s="13">
        <f>SUM(E12:E13)</f>
        <v>4000</v>
      </c>
      <c r="F14" s="11"/>
      <c r="H14" s="10">
        <f>IF(H8="","",H8*rate_fun)</f>
        <v>1144.05</v>
      </c>
      <c r="I14" s="13">
        <f>SUM(I12:I13)</f>
        <v>5684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>
        <f>IF(D14="","",SUM(D14,H14,L14,P14,T14,X14,AB14,AF14,AJ14,AN14,AR14,AV14))</f>
        <v>2226.1499999999996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92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8943.81</v>
      </c>
      <c r="E18" s="14" t="str">
        <f>IF(D18="","",IF(E24&gt;D18,"REAL &gt; Wypłata!",""))</f>
        <v/>
      </c>
      <c r="H18" s="7">
        <v>8849</v>
      </c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>
        <f>IF(D18="","",SUM(D18:AX18))</f>
        <v>17792.809999999998</v>
      </c>
    </row>
    <row r="19" spans="2:55" x14ac:dyDescent="0.25">
      <c r="B19" s="4" t="s">
        <v>37</v>
      </c>
      <c r="D19" s="7">
        <v>2000</v>
      </c>
      <c r="H19" s="7">
        <v>2000</v>
      </c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>
        <f>IF(D19="","",SUM(D19:AX19))</f>
        <v>4000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3813.4764999999998</v>
      </c>
      <c r="E22" s="10">
        <v>3900</v>
      </c>
      <c r="F22" s="10">
        <f>IFERROR(IF(E22="","",E22-D22),"")</f>
        <v>86.52350000000024</v>
      </c>
      <c r="H22" s="10">
        <f>IF(H18="","",H18*rate_home-H19)</f>
        <v>3751.8500000000004</v>
      </c>
      <c r="I22" s="10">
        <v>3751.85</v>
      </c>
      <c r="J22" s="10">
        <f>IFERROR(IF(I22="","",I22-H22),"")</f>
        <v>-4.5474735088646412E-13</v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>
        <f>IF(D22="","",SUM(D22,H22,L22,P22,T22,X22,AB22,AF22,AJ22,AN22,AR22,AV22))</f>
        <v>7565.3265000000001</v>
      </c>
      <c r="BB22" s="10">
        <f>IF(E22="","",SUM(E22,I22,M22,Q22,U22,Y22,AC22,AG22,AK22,AO22,AS22,AW22))</f>
        <v>7651.85</v>
      </c>
      <c r="BC22" s="10">
        <f>IFERROR(IF(BB22="","",BB22-BA22),"")</f>
        <v>86.52350000000024</v>
      </c>
    </row>
    <row r="23" spans="2:55" x14ac:dyDescent="0.25">
      <c r="B23" t="s">
        <v>1</v>
      </c>
      <c r="D23" s="10">
        <f>IF(D18="","",D18*rate_savings)</f>
        <v>1788.7619999999999</v>
      </c>
      <c r="E23" s="10">
        <v>2000</v>
      </c>
      <c r="F23" s="10">
        <f>IFERROR(IF(E23="","",E23-D23),"")</f>
        <v>211.23800000000006</v>
      </c>
      <c r="H23" s="10">
        <f>IF(H18="","",H18*rate_savings)</f>
        <v>1769.8000000000002</v>
      </c>
      <c r="I23" s="10">
        <v>2252.15</v>
      </c>
      <c r="J23" s="10">
        <f>IFERROR(IF(I23="","",I23-H23),"")</f>
        <v>482.34999999999991</v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>
        <f>IF(D23="","",SUM(D23,H23,L23,P23,T23,X23,AB23,AF23,AJ23,AN23,AR23,AV23))</f>
        <v>3558.5619999999999</v>
      </c>
      <c r="BB23" s="10">
        <f>IF(E23="","",SUM(E23,I23,M23,Q23,U23,Y23,AC23,AG23,AK23,AO23,AS23,AW23))</f>
        <v>4252.1499999999996</v>
      </c>
      <c r="BC23" s="10">
        <f>IFERROR(IF(BB23="","",BB23-BA23),"")</f>
        <v>693.58799999999974</v>
      </c>
    </row>
    <row r="24" spans="2:55" x14ac:dyDescent="0.25">
      <c r="B24" t="s">
        <v>2</v>
      </c>
      <c r="D24" s="10">
        <f>IF(D18="","",D18*rate_fun)</f>
        <v>1341.5714999999998</v>
      </c>
      <c r="E24" s="13">
        <f>SUM(E22:E23)</f>
        <v>5900</v>
      </c>
      <c r="F24" s="11"/>
      <c r="H24" s="10">
        <f>IF(H18="","",H18*rate_fun)</f>
        <v>1327.35</v>
      </c>
      <c r="I24" s="13">
        <f>SUM(I22:I23)</f>
        <v>6004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>
        <f>IF(D24="","",SUM(D24,H24,L24,P24,T24,X24,AB24,AF24,AJ24,AN24,AR24,AV24))</f>
        <v>2668.9214999999995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16157.81</v>
      </c>
      <c r="E28" s="16"/>
      <c r="F28" s="16"/>
      <c r="G28" s="1"/>
      <c r="H28" s="16">
        <f>IF(AND(H8="",H18=""),"",H8+H18)</f>
        <v>16476</v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>
        <f>IF(D28="","",SUM(D28:AX28))</f>
        <v>32633.809999999998</v>
      </c>
    </row>
    <row r="29" spans="2:55" x14ac:dyDescent="0.25">
      <c r="B29" t="s">
        <v>37</v>
      </c>
      <c r="D29" s="16">
        <f>IF(AND(D9="",D19=""),"",D9+D19)</f>
        <v>4200</v>
      </c>
      <c r="E29" s="16"/>
      <c r="F29" s="16"/>
      <c r="G29" s="1"/>
      <c r="H29" s="16">
        <f>IF(AND(H9="",H19=""),"",H9+H19)</f>
        <v>2800</v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>
        <f>IF(D29="","",SUM(D29:AX29))</f>
        <v>7000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6302.5765000000001</v>
      </c>
      <c r="E32" s="10">
        <f>IF(OR(E$12="",E$13="",E$22="",E$23=""),"",E12+E22)</f>
        <v>6400</v>
      </c>
      <c r="F32" s="10">
        <f>IFERROR(IF(E32="","",E32-D32),"")</f>
        <v>97.423499999999876</v>
      </c>
      <c r="H32" s="10">
        <f>IFERROR(H12+H22,"")</f>
        <v>7909.4000000000005</v>
      </c>
      <c r="I32" s="10">
        <f>IF(OR(I$12="",I$13="",I$22="",I$23=""),"",I12+I22)</f>
        <v>7909.85</v>
      </c>
      <c r="J32" s="10">
        <f>IFERROR(IF(I32="","",I32-H32),"")</f>
        <v>0.4499999999998181</v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>
        <f>IFERROR(BA12+BA22,"")</f>
        <v>14211.976500000001</v>
      </c>
      <c r="BB32" s="10">
        <f>IF(OR($E$12="",$E$13="",$E$22="",$E$23=""),"",BB12+BB22)</f>
        <v>14309.85</v>
      </c>
      <c r="BC32" s="10">
        <f>IFERROR(IF(BB32="","",BB32-BA32),"")</f>
        <v>97.873499999999694</v>
      </c>
    </row>
    <row r="33" spans="2:55" x14ac:dyDescent="0.25">
      <c r="B33" t="s">
        <v>1</v>
      </c>
      <c r="D33" s="10">
        <f>IFERROR(D13+D23,"")</f>
        <v>3231.5619999999999</v>
      </c>
      <c r="E33" s="10">
        <f>IF(OR(E$12="",E$13="",E$22="",E$23=""),"",E13+E23)</f>
        <v>3500</v>
      </c>
      <c r="F33" s="10">
        <f>IFERROR(IF(E33="","",E33-D33),"")</f>
        <v>268.4380000000001</v>
      </c>
      <c r="H33" s="10">
        <f>IFERROR(H13+H23,"")</f>
        <v>3295.2000000000003</v>
      </c>
      <c r="I33" s="10">
        <f>IF(OR(I$12="",I$13="",I$22="",I$23=""),"",I13+I23)</f>
        <v>3778.15</v>
      </c>
      <c r="J33" s="10">
        <f>IFERROR(IF(I33="","",I33-H33),"")</f>
        <v>482.94999999999982</v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>
        <f>IFERROR(BA13+BA23,"")</f>
        <v>6526.7620000000006</v>
      </c>
      <c r="BB33" s="10">
        <f>IF(OR($E$12="",$E$13="",$E$22="",$E$23=""),"",BB13+BB23)</f>
        <v>7278.15</v>
      </c>
      <c r="BC33" s="10">
        <f>IFERROR(IF(BB33="","",BB33-BA33),"")</f>
        <v>751.38799999999901</v>
      </c>
    </row>
    <row r="34" spans="2:55" x14ac:dyDescent="0.25">
      <c r="B34" t="s">
        <v>2</v>
      </c>
      <c r="D34" s="10">
        <f>IFERROR(D14+D24,"")</f>
        <v>2423.6714999999995</v>
      </c>
      <c r="E34" s="11"/>
      <c r="F34" s="11"/>
      <c r="H34" s="10">
        <f>IFERROR(H14+H24,"")</f>
        <v>2471.3999999999996</v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>
        <f>IFERROR(BA14+BA24,"")</f>
        <v>4895.0714999999991</v>
      </c>
      <c r="BB34" s="11"/>
      <c r="BC34" s="11"/>
    </row>
    <row r="43" spans="2:55" x14ac:dyDescent="0.25">
      <c r="H43" s="6"/>
    </row>
    <row r="44" spans="2:55" x14ac:dyDescent="0.25">
      <c r="H44" s="6"/>
    </row>
    <row r="45" spans="2:55" x14ac:dyDescent="0.25">
      <c r="H45" s="6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4"/>
  <sheetViews>
    <sheetView showGridLines="0" zoomScaleNormal="100" workbookViewId="0">
      <selection activeCell="G47" sqref="G47"/>
    </sheetView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9900</v>
      </c>
      <c r="E8" s="6">
        <f>IF(OR(E9="",E10="",E9=0,E10=0),"",SUM(E9:E10))</f>
        <v>11688</v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>
        <f>IF(D8="","",SUM(Q9:Q10))</f>
        <v>21588</v>
      </c>
    </row>
    <row r="9" spans="2:17" s="26" customFormat="1" ht="15" customHeight="1" x14ac:dyDescent="0.2">
      <c r="B9" s="26" t="s">
        <v>56</v>
      </c>
      <c r="D9" s="26">
        <f>budżet!E32</f>
        <v>6400</v>
      </c>
      <c r="E9" s="26">
        <f>IF(budżet!I32=0,"",budżet!I32)</f>
        <v>7909.85</v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>
        <f>IF(D9="","",SUM(D9:P9))</f>
        <v>14309.85</v>
      </c>
    </row>
    <row r="10" spans="2:17" x14ac:dyDescent="0.25">
      <c r="B10" s="26" t="s">
        <v>57</v>
      </c>
      <c r="C10" s="26"/>
      <c r="D10" s="26">
        <f>budżet!E33</f>
        <v>3500</v>
      </c>
      <c r="E10" s="26">
        <f>IF(budżet!I33=0,"",budżet!I33)</f>
        <v>3778.15</v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>
        <f>IF(D10="","",SUM(D10:P10))</f>
        <v>7278.15</v>
      </c>
    </row>
    <row r="11" spans="2:17" s="16" customFormat="1" x14ac:dyDescent="0.25">
      <c r="B11" s="6" t="s">
        <v>48</v>
      </c>
      <c r="C11" s="6"/>
      <c r="D11" s="6">
        <v>120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120</v>
      </c>
    </row>
    <row r="12" spans="2:17" x14ac:dyDescent="0.25">
      <c r="B12" s="38" t="s">
        <v>38</v>
      </c>
      <c r="C12" s="38"/>
      <c r="D12" s="38">
        <f>IFERROR(D8+D11,0)</f>
        <v>10020</v>
      </c>
      <c r="E12" s="38">
        <f t="shared" ref="E12:O12" si="1">IFERROR(E8+E11,0)</f>
        <v>11688</v>
      </c>
      <c r="F12" s="38">
        <f t="shared" si="1"/>
        <v>0</v>
      </c>
      <c r="G12" s="38">
        <f t="shared" si="1"/>
        <v>0</v>
      </c>
      <c r="H12" s="38">
        <f t="shared" si="1"/>
        <v>0</v>
      </c>
      <c r="I12" s="38">
        <f t="shared" si="1"/>
        <v>0</v>
      </c>
      <c r="J12" s="38">
        <f t="shared" si="1"/>
        <v>0</v>
      </c>
      <c r="K12" s="38">
        <f t="shared" si="1"/>
        <v>0</v>
      </c>
      <c r="L12" s="38">
        <f t="shared" si="1"/>
        <v>0</v>
      </c>
      <c r="M12" s="38">
        <f t="shared" si="1"/>
        <v>0</v>
      </c>
      <c r="N12" s="38">
        <f t="shared" si="1"/>
        <v>0</v>
      </c>
      <c r="O12" s="38">
        <f t="shared" si="1"/>
        <v>0</v>
      </c>
      <c r="P12" s="16"/>
      <c r="Q12" s="38">
        <f>IFERROR(Q8+Q11,"")</f>
        <v>21708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1520.38</v>
      </c>
      <c r="Q16" s="6">
        <f>SUM(D16:O16)</f>
        <v>1520.38</v>
      </c>
    </row>
    <row r="17" spans="2:17" x14ac:dyDescent="0.25">
      <c r="B17" s="6" t="s">
        <v>51</v>
      </c>
      <c r="D17" s="6">
        <v>0</v>
      </c>
      <c r="Q17" s="6">
        <f t="shared" ref="Q17:Q21" si="2">SUM(D17:O17)</f>
        <v>0</v>
      </c>
    </row>
    <row r="18" spans="2:17" x14ac:dyDescent="0.25">
      <c r="B18" s="6" t="s">
        <v>52</v>
      </c>
      <c r="D18" s="6">
        <v>33.29</v>
      </c>
      <c r="Q18" s="6">
        <f t="shared" si="2"/>
        <v>33.29</v>
      </c>
    </row>
    <row r="19" spans="2:17" x14ac:dyDescent="0.25">
      <c r="B19" s="6" t="s">
        <v>84</v>
      </c>
      <c r="D19" s="6">
        <f>54</f>
        <v>54</v>
      </c>
      <c r="E19" s="6">
        <f>54</f>
        <v>54</v>
      </c>
      <c r="F19" s="6">
        <f>54</f>
        <v>54</v>
      </c>
      <c r="G19" s="6">
        <f>54</f>
        <v>54</v>
      </c>
      <c r="H19" s="6">
        <f>54</f>
        <v>54</v>
      </c>
      <c r="I19" s="6">
        <f>54</f>
        <v>54</v>
      </c>
      <c r="J19" s="6">
        <f>54</f>
        <v>54</v>
      </c>
      <c r="K19" s="6">
        <f>54</f>
        <v>54</v>
      </c>
      <c r="L19" s="6">
        <f>54</f>
        <v>54</v>
      </c>
      <c r="M19" s="6">
        <f>54</f>
        <v>54</v>
      </c>
      <c r="N19" s="6">
        <f>54</f>
        <v>54</v>
      </c>
      <c r="O19" s="6">
        <f>54</f>
        <v>54</v>
      </c>
      <c r="Q19" s="6">
        <f t="shared" si="2"/>
        <v>648</v>
      </c>
    </row>
    <row r="20" spans="2:17" x14ac:dyDescent="0.25">
      <c r="B20" s="6" t="s">
        <v>70</v>
      </c>
      <c r="D20" s="6">
        <v>2513.1799999999998</v>
      </c>
      <c r="Q20" s="6">
        <f t="shared" si="2"/>
        <v>2513.1799999999998</v>
      </c>
    </row>
    <row r="21" spans="2:17" s="16" customFormat="1" x14ac:dyDescent="0.25">
      <c r="B21" s="6" t="s">
        <v>48</v>
      </c>
      <c r="C21" s="6"/>
      <c r="D21" s="6">
        <f>75.01+300+239+353</f>
        <v>967.01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>
        <f t="shared" si="2"/>
        <v>967.01</v>
      </c>
    </row>
    <row r="22" spans="2:17" x14ac:dyDescent="0.25">
      <c r="B22" s="38" t="s">
        <v>38</v>
      </c>
      <c r="C22" s="38"/>
      <c r="D22" s="38">
        <f>SUM(D16:D21)</f>
        <v>5087.8600000000006</v>
      </c>
      <c r="E22" s="38">
        <f t="shared" ref="E22:O22" si="3">SUM(E16:E21)</f>
        <v>54</v>
      </c>
      <c r="F22" s="38">
        <f t="shared" si="3"/>
        <v>54</v>
      </c>
      <c r="G22" s="38">
        <f t="shared" si="3"/>
        <v>54</v>
      </c>
      <c r="H22" s="38">
        <f t="shared" si="3"/>
        <v>54</v>
      </c>
      <c r="I22" s="38">
        <f t="shared" si="3"/>
        <v>54</v>
      </c>
      <c r="J22" s="38">
        <f t="shared" si="3"/>
        <v>54</v>
      </c>
      <c r="K22" s="38">
        <f t="shared" si="3"/>
        <v>54</v>
      </c>
      <c r="L22" s="38">
        <f t="shared" si="3"/>
        <v>54</v>
      </c>
      <c r="M22" s="38">
        <f t="shared" si="3"/>
        <v>54</v>
      </c>
      <c r="N22" s="38">
        <f t="shared" si="3"/>
        <v>54</v>
      </c>
      <c r="O22" s="38">
        <f t="shared" si="3"/>
        <v>54</v>
      </c>
      <c r="P22" s="16"/>
      <c r="Q22" s="38">
        <f t="shared" ref="Q22" si="4">SUM(Q16:Q21)</f>
        <v>5681.8600000000006</v>
      </c>
    </row>
    <row r="24" spans="2:17" x14ac:dyDescent="0.25">
      <c r="B24" s="6" t="s">
        <v>53</v>
      </c>
      <c r="D24" s="6">
        <f>152.31+136.95+161.28+73.46+161.18</f>
        <v>685.18000000000006</v>
      </c>
      <c r="E24" s="6">
        <f>265.34</f>
        <v>265.33999999999997</v>
      </c>
      <c r="Q24" s="6">
        <f>SUM(D24:O24)</f>
        <v>950.52</v>
      </c>
    </row>
    <row r="25" spans="2:17" x14ac:dyDescent="0.25">
      <c r="B25" s="6" t="s">
        <v>88</v>
      </c>
      <c r="D25" s="6">
        <f>119.4+35.9+134.97+183+180</f>
        <v>653.27</v>
      </c>
      <c r="Q25" s="6">
        <f>SUM(D25:O25)</f>
        <v>653.27</v>
      </c>
    </row>
    <row r="26" spans="2:17" x14ac:dyDescent="0.25">
      <c r="B26" s="38" t="s">
        <v>38</v>
      </c>
      <c r="C26" s="38"/>
      <c r="D26" s="38">
        <f>SUM(D24:D25)</f>
        <v>1338.45</v>
      </c>
      <c r="E26" s="38">
        <f t="shared" ref="E26:O26" si="5">SUM(E24:E25)</f>
        <v>265.33999999999997</v>
      </c>
      <c r="F26" s="38">
        <f t="shared" si="5"/>
        <v>0</v>
      </c>
      <c r="G26" s="38">
        <f t="shared" si="5"/>
        <v>0</v>
      </c>
      <c r="H26" s="38">
        <f t="shared" si="5"/>
        <v>0</v>
      </c>
      <c r="I26" s="38">
        <f t="shared" si="5"/>
        <v>0</v>
      </c>
      <c r="J26" s="38">
        <f t="shared" si="5"/>
        <v>0</v>
      </c>
      <c r="K26" s="38">
        <f t="shared" si="5"/>
        <v>0</v>
      </c>
      <c r="L26" s="38">
        <f t="shared" si="5"/>
        <v>0</v>
      </c>
      <c r="M26" s="38">
        <f t="shared" si="5"/>
        <v>0</v>
      </c>
      <c r="N26" s="38">
        <f t="shared" si="5"/>
        <v>0</v>
      </c>
      <c r="O26" s="38">
        <f t="shared" si="5"/>
        <v>0</v>
      </c>
      <c r="Q26" s="38">
        <f t="shared" ref="Q26" si="6">SUM(Q24:Q25)</f>
        <v>1603.79</v>
      </c>
    </row>
    <row r="28" spans="2:17" x14ac:dyDescent="0.25">
      <c r="B28" s="6" t="s">
        <v>54</v>
      </c>
      <c r="D28" s="6">
        <f>171.05+140</f>
        <v>311.05</v>
      </c>
      <c r="Q28" s="6">
        <f>SUM(D28:O28)</f>
        <v>311.05</v>
      </c>
    </row>
    <row r="29" spans="2:17" x14ac:dyDescent="0.25">
      <c r="B29" s="6" t="s">
        <v>55</v>
      </c>
      <c r="D29" s="6">
        <v>0</v>
      </c>
      <c r="Q29" s="6">
        <f>SUM(D29:O29)</f>
        <v>0</v>
      </c>
    </row>
    <row r="30" spans="2:17" x14ac:dyDescent="0.25">
      <c r="B30" s="38" t="s">
        <v>38</v>
      </c>
      <c r="C30" s="38"/>
      <c r="D30" s="38">
        <f>SUM(D28:D29)</f>
        <v>311.05</v>
      </c>
      <c r="E30" s="38">
        <f t="shared" ref="E30:O30" si="7">SUM(E28:E29)</f>
        <v>0</v>
      </c>
      <c r="F30" s="38">
        <f t="shared" si="7"/>
        <v>0</v>
      </c>
      <c r="G30" s="38">
        <f t="shared" si="7"/>
        <v>0</v>
      </c>
      <c r="H30" s="38">
        <f t="shared" si="7"/>
        <v>0</v>
      </c>
      <c r="I30" s="38">
        <f t="shared" si="7"/>
        <v>0</v>
      </c>
      <c r="J30" s="38">
        <f t="shared" si="7"/>
        <v>0</v>
      </c>
      <c r="K30" s="38">
        <f t="shared" si="7"/>
        <v>0</v>
      </c>
      <c r="L30" s="38">
        <f t="shared" si="7"/>
        <v>0</v>
      </c>
      <c r="M30" s="38">
        <f t="shared" si="7"/>
        <v>0</v>
      </c>
      <c r="N30" s="38">
        <f t="shared" si="7"/>
        <v>0</v>
      </c>
      <c r="O30" s="38">
        <f t="shared" si="7"/>
        <v>0</v>
      </c>
      <c r="Q30" s="38">
        <f t="shared" ref="Q30" si="8">SUM(Q28:Q29)</f>
        <v>311.05</v>
      </c>
    </row>
    <row r="31" spans="2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Q31" s="16"/>
    </row>
    <row r="32" spans="2:17" x14ac:dyDescent="0.25">
      <c r="B32" s="38" t="s">
        <v>66</v>
      </c>
      <c r="C32" s="38"/>
      <c r="D32" s="38">
        <f>D22+D26+D30</f>
        <v>6737.3600000000006</v>
      </c>
      <c r="E32" s="38">
        <f t="shared" ref="E32:O32" si="9">E22+E26+E30</f>
        <v>319.33999999999997</v>
      </c>
      <c r="F32" s="38">
        <f t="shared" si="9"/>
        <v>54</v>
      </c>
      <c r="G32" s="38">
        <f t="shared" si="9"/>
        <v>54</v>
      </c>
      <c r="H32" s="38">
        <f t="shared" si="9"/>
        <v>54</v>
      </c>
      <c r="I32" s="38">
        <f t="shared" si="9"/>
        <v>54</v>
      </c>
      <c r="J32" s="38">
        <f t="shared" si="9"/>
        <v>54</v>
      </c>
      <c r="K32" s="38">
        <f t="shared" si="9"/>
        <v>54</v>
      </c>
      <c r="L32" s="38">
        <f t="shared" si="9"/>
        <v>54</v>
      </c>
      <c r="M32" s="38">
        <f t="shared" si="9"/>
        <v>54</v>
      </c>
      <c r="N32" s="38">
        <f t="shared" si="9"/>
        <v>54</v>
      </c>
      <c r="O32" s="38">
        <f t="shared" si="9"/>
        <v>54</v>
      </c>
      <c r="Q32" s="38">
        <f t="shared" ref="Q32" si="10">Q22+Q26+Q30</f>
        <v>7596.7000000000007</v>
      </c>
    </row>
    <row r="33" spans="2:17" ht="15.75" thickBot="1" x14ac:dyDescent="0.3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Q33" s="40"/>
    </row>
    <row r="34" spans="2:17" ht="15.75" thickTop="1" x14ac:dyDescent="0.25">
      <c r="B34" s="16" t="s">
        <v>58</v>
      </c>
      <c r="D34" s="16">
        <f>IFERROR(D12-D32,0)</f>
        <v>3282.6399999999994</v>
      </c>
      <c r="E34" s="16">
        <f t="shared" ref="E34:O34" si="11">IFERROR(E12-E32,0)</f>
        <v>11368.66</v>
      </c>
      <c r="F34" s="16">
        <f t="shared" si="11"/>
        <v>-54</v>
      </c>
      <c r="G34" s="16">
        <f t="shared" si="11"/>
        <v>-54</v>
      </c>
      <c r="H34" s="16">
        <f t="shared" si="11"/>
        <v>-54</v>
      </c>
      <c r="I34" s="16">
        <f t="shared" si="11"/>
        <v>-54</v>
      </c>
      <c r="J34" s="16">
        <f t="shared" si="11"/>
        <v>-54</v>
      </c>
      <c r="K34" s="16">
        <f t="shared" si="11"/>
        <v>-54</v>
      </c>
      <c r="L34" s="16">
        <f t="shared" si="11"/>
        <v>-54</v>
      </c>
      <c r="M34" s="16">
        <f t="shared" si="11"/>
        <v>-54</v>
      </c>
      <c r="N34" s="16">
        <f t="shared" si="11"/>
        <v>-54</v>
      </c>
      <c r="O34" s="16">
        <f t="shared" si="11"/>
        <v>-54</v>
      </c>
      <c r="Q34" s="16">
        <f t="shared" ref="Q34" si="12">IFERROR(Q12-Q32,"")</f>
        <v>14111.3</v>
      </c>
    </row>
  </sheetData>
  <conditionalFormatting sqref="P22:Q22">
    <cfRule type="cellIs" dxfId="30" priority="29" operator="equal">
      <formula>0</formula>
    </cfRule>
  </conditionalFormatting>
  <conditionalFormatting sqref="Q16:Q21">
    <cfRule type="containsBlanks" dxfId="29" priority="27">
      <formula>LEN(TRIM(Q16))=0</formula>
    </cfRule>
  </conditionalFormatting>
  <conditionalFormatting sqref="Q24:Q25">
    <cfRule type="containsBlanks" dxfId="28" priority="25">
      <formula>LEN(TRIM(Q24))=0</formula>
    </cfRule>
  </conditionalFormatting>
  <conditionalFormatting sqref="Q26">
    <cfRule type="cellIs" dxfId="27" priority="23" operator="equal">
      <formula>0</formula>
    </cfRule>
  </conditionalFormatting>
  <conditionalFormatting sqref="D31:O31">
    <cfRule type="cellIs" dxfId="26" priority="18" operator="equal">
      <formula>0</formula>
    </cfRule>
  </conditionalFormatting>
  <conditionalFormatting sqref="Q30:Q31">
    <cfRule type="cellIs" dxfId="25" priority="17" operator="equal">
      <formula>0</formula>
    </cfRule>
  </conditionalFormatting>
  <conditionalFormatting sqref="Q32">
    <cfRule type="cellIs" dxfId="24" priority="16" operator="equal">
      <formula>0</formula>
    </cfRule>
  </conditionalFormatting>
  <conditionalFormatting sqref="Q28:Q29">
    <cfRule type="containsBlanks" dxfId="23" priority="14">
      <formula>LEN(TRIM(Q28))=0</formula>
    </cfRule>
  </conditionalFormatting>
  <conditionalFormatting sqref="D34:O34">
    <cfRule type="cellIs" dxfId="22" priority="13" operator="lessThan">
      <formula>0</formula>
    </cfRule>
  </conditionalFormatting>
  <conditionalFormatting sqref="Q11:Q29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1">
    <cfRule type="containsBlanks" dxfId="19" priority="10">
      <formula>LEN(TRIM(D16))=0</formula>
    </cfRule>
  </conditionalFormatting>
  <conditionalFormatting sqref="D24:O25">
    <cfRule type="containsBlanks" dxfId="18" priority="9">
      <formula>LEN(TRIM(D24))=0</formula>
    </cfRule>
  </conditionalFormatting>
  <conditionalFormatting sqref="D28:O29">
    <cfRule type="containsBlanks" dxfId="17" priority="8">
      <formula>LEN(TRIM(D28))=0</formula>
    </cfRule>
  </conditionalFormatting>
  <conditionalFormatting sqref="D12:O12">
    <cfRule type="cellIs" dxfId="16" priority="7" operator="equal">
      <formula>0</formula>
    </cfRule>
  </conditionalFormatting>
  <conditionalFormatting sqref="D22:O22">
    <cfRule type="cellIs" dxfId="15" priority="6" operator="equal">
      <formula>0</formula>
    </cfRule>
  </conditionalFormatting>
  <conditionalFormatting sqref="D26:O26">
    <cfRule type="cellIs" dxfId="14" priority="5" operator="equal">
      <formula>0</formula>
    </cfRule>
  </conditionalFormatting>
  <conditionalFormatting sqref="D32:O32">
    <cfRule type="cellIs" dxfId="13" priority="3" operator="equal">
      <formula>0</formula>
    </cfRule>
  </conditionalFormatting>
  <conditionalFormatting sqref="Q34">
    <cfRule type="cellIs" dxfId="12" priority="2" operator="lessThan">
      <formula>0</formula>
    </cfRule>
  </conditionalFormatting>
  <conditionalFormatting sqref="D30:O30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E52" sqref="E52"/>
    </sheetView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f>3711.44+3751.85</f>
        <v>7463.29</v>
      </c>
    </row>
    <row r="9" spans="2:15" x14ac:dyDescent="0.25">
      <c r="B9" s="6" t="s">
        <v>1</v>
      </c>
      <c r="D9" s="6">
        <f>13160.01+2252.15</f>
        <v>15412.16</v>
      </c>
    </row>
    <row r="10" spans="2:15" x14ac:dyDescent="0.25">
      <c r="B10" s="6" t="s">
        <v>63</v>
      </c>
      <c r="D10" s="6">
        <v>0</v>
      </c>
    </row>
    <row r="12" spans="2:15" s="16" customFormat="1" x14ac:dyDescent="0.25">
      <c r="B12" s="30" t="s">
        <v>38</v>
      </c>
      <c r="C12" s="30"/>
      <c r="D12" s="30">
        <f>SUM(D8:D10)</f>
        <v>22875.45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50">
        <f>SUM(D15:D18)</f>
        <v>0</v>
      </c>
      <c r="E14" s="50">
        <f t="shared" ref="E14:O14" si="1">SUM(E15:E18)</f>
        <v>0</v>
      </c>
      <c r="F14" s="50">
        <f t="shared" si="1"/>
        <v>0</v>
      </c>
      <c r="G14" s="50">
        <f t="shared" si="1"/>
        <v>0</v>
      </c>
      <c r="H14" s="50">
        <f t="shared" si="1"/>
        <v>0</v>
      </c>
      <c r="I14" s="50">
        <f t="shared" si="1"/>
        <v>0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  <c r="O14" s="50">
        <f t="shared" si="1"/>
        <v>0</v>
      </c>
    </row>
    <row r="15" spans="2:15" s="36" customFormat="1" ht="11.25" customHeight="1" x14ac:dyDescent="0.2">
      <c r="B15" s="35" t="s">
        <v>89</v>
      </c>
      <c r="D15" s="26">
        <v>0</v>
      </c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89</v>
      </c>
      <c r="D16" s="26">
        <v>0</v>
      </c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89</v>
      </c>
      <c r="D17" s="26">
        <v>0</v>
      </c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89</v>
      </c>
      <c r="D18" s="26">
        <v>0</v>
      </c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SUM(D21:D25)</f>
        <v>11038.35</v>
      </c>
      <c r="E20" s="30">
        <f t="shared" ref="E20:O20" si="2">SUM(E21:E25)</f>
        <v>0</v>
      </c>
      <c r="F20" s="30">
        <f t="shared" si="2"/>
        <v>0</v>
      </c>
      <c r="G20" s="30">
        <f t="shared" si="2"/>
        <v>0</v>
      </c>
      <c r="H20" s="30">
        <f t="shared" si="2"/>
        <v>0</v>
      </c>
      <c r="I20" s="30">
        <f t="shared" si="2"/>
        <v>0</v>
      </c>
      <c r="J20" s="30">
        <f t="shared" si="2"/>
        <v>0</v>
      </c>
      <c r="K20" s="30">
        <f t="shared" si="2"/>
        <v>0</v>
      </c>
      <c r="L20" s="30">
        <f t="shared" si="2"/>
        <v>0</v>
      </c>
      <c r="M20" s="30">
        <f t="shared" si="2"/>
        <v>0</v>
      </c>
      <c r="N20" s="30">
        <f t="shared" si="2"/>
        <v>0</v>
      </c>
      <c r="O20" s="30">
        <f t="shared" si="2"/>
        <v>0</v>
      </c>
    </row>
    <row r="21" spans="2:15" s="16" customFormat="1" ht="11.25" customHeight="1" x14ac:dyDescent="0.25">
      <c r="B21" s="35" t="s">
        <v>89</v>
      </c>
      <c r="D21" s="26">
        <v>1037.49</v>
      </c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89</v>
      </c>
      <c r="D22" s="26">
        <v>1817.1</v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89</v>
      </c>
      <c r="D23" s="26">
        <v>1866.82</v>
      </c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89</v>
      </c>
      <c r="D24" s="26">
        <v>3123.71</v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89</v>
      </c>
      <c r="D25" s="26">
        <v>3193.23</v>
      </c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>
        <f>D14+D20</f>
        <v>11038.35</v>
      </c>
      <c r="E27" s="30">
        <f t="shared" ref="E27:O27" si="3">E14+E20</f>
        <v>0</v>
      </c>
      <c r="F27" s="30">
        <f t="shared" si="3"/>
        <v>0</v>
      </c>
      <c r="G27" s="30">
        <f t="shared" si="3"/>
        <v>0</v>
      </c>
      <c r="H27" s="30">
        <f t="shared" si="3"/>
        <v>0</v>
      </c>
      <c r="I27" s="30">
        <f t="shared" si="3"/>
        <v>0</v>
      </c>
      <c r="J27" s="30">
        <f t="shared" si="3"/>
        <v>0</v>
      </c>
      <c r="K27" s="30">
        <f t="shared" si="3"/>
        <v>0</v>
      </c>
      <c r="L27" s="30">
        <f t="shared" si="3"/>
        <v>0</v>
      </c>
      <c r="M27" s="30">
        <f t="shared" si="3"/>
        <v>0</v>
      </c>
      <c r="N27" s="30">
        <f t="shared" si="3"/>
        <v>0</v>
      </c>
      <c r="O27" s="30">
        <f t="shared" si="3"/>
        <v>0</v>
      </c>
    </row>
    <row r="29" spans="2:15" x14ac:dyDescent="0.25">
      <c r="B29" s="38" t="s">
        <v>67</v>
      </c>
      <c r="C29" s="39"/>
      <c r="D29" s="30">
        <f>D12+D27</f>
        <v>33913.800000000003</v>
      </c>
      <c r="E29" s="30">
        <f t="shared" ref="E29:O29" si="4">E12+E27</f>
        <v>0</v>
      </c>
      <c r="F29" s="30">
        <f t="shared" si="4"/>
        <v>0</v>
      </c>
      <c r="G29" s="30">
        <f t="shared" si="4"/>
        <v>0</v>
      </c>
      <c r="H29" s="30">
        <f t="shared" si="4"/>
        <v>0</v>
      </c>
      <c r="I29" s="30">
        <f t="shared" si="4"/>
        <v>0</v>
      </c>
      <c r="J29" s="30">
        <f t="shared" si="4"/>
        <v>0</v>
      </c>
      <c r="K29" s="30">
        <f t="shared" si="4"/>
        <v>0</v>
      </c>
      <c r="L29" s="30">
        <f t="shared" si="4"/>
        <v>0</v>
      </c>
      <c r="M29" s="30">
        <f t="shared" si="4"/>
        <v>0</v>
      </c>
      <c r="N29" s="30">
        <f t="shared" si="4"/>
        <v>0</v>
      </c>
      <c r="O29" s="30">
        <f t="shared" si="4"/>
        <v>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329917.15999999997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D29-D33</f>
        <v>-296003.36</v>
      </c>
      <c r="E35" s="6">
        <f t="shared" ref="E35:O35" si="5">E29-E33</f>
        <v>0</v>
      </c>
      <c r="F35" s="6">
        <f t="shared" si="5"/>
        <v>0</v>
      </c>
      <c r="G35" s="6">
        <f t="shared" si="5"/>
        <v>0</v>
      </c>
      <c r="H35" s="6">
        <f t="shared" si="5"/>
        <v>0</v>
      </c>
      <c r="I35" s="6">
        <f t="shared" si="5"/>
        <v>0</v>
      </c>
      <c r="J35" s="6">
        <f t="shared" si="5"/>
        <v>0</v>
      </c>
      <c r="K35" s="6">
        <f t="shared" si="5"/>
        <v>0</v>
      </c>
      <c r="L35" s="6">
        <f t="shared" si="5"/>
        <v>0</v>
      </c>
      <c r="M35" s="6">
        <f t="shared" si="5"/>
        <v>0</v>
      </c>
      <c r="N35" s="6">
        <f t="shared" si="5"/>
        <v>0</v>
      </c>
      <c r="O35" s="6">
        <f t="shared" si="5"/>
        <v>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tech</vt:lpstr>
      <vt:lpstr>tech_tbls</vt:lpstr>
      <vt:lpstr>start</vt:lpstr>
      <vt:lpstr>budżet</vt:lpstr>
      <vt:lpstr>PL</vt:lpstr>
      <vt:lpstr>BS</vt:lpstr>
      <vt:lpstr>dateCurrMonth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2024-02-11T15:10:04Z</dcterms:modified>
</cp:coreProperties>
</file>