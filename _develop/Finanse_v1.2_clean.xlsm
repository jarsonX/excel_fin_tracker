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547" documentId="8_{A4B5B942-374F-4909-A42C-457EEFDD62EC}" xr6:coauthVersionLast="47" xr6:coauthVersionMax="47" xr10:uidLastSave="{319F8F7A-6F46-411A-B16A-354A31478832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1" l="1"/>
  <c r="K29" i="11"/>
  <c r="N29" i="11"/>
  <c r="D28" i="11"/>
  <c r="H28" i="11"/>
  <c r="J14" i="10"/>
  <c r="I29" i="11" s="1"/>
  <c r="E20" i="10"/>
  <c r="F20" i="10"/>
  <c r="E28" i="11" s="1"/>
  <c r="G20" i="10"/>
  <c r="F28" i="11" s="1"/>
  <c r="H20" i="10"/>
  <c r="G28" i="11" s="1"/>
  <c r="I20" i="10"/>
  <c r="J20" i="10"/>
  <c r="I28" i="11" s="1"/>
  <c r="K20" i="10"/>
  <c r="J28" i="11" s="1"/>
  <c r="L20" i="10"/>
  <c r="K28" i="11" s="1"/>
  <c r="M20" i="10"/>
  <c r="L28" i="11" s="1"/>
  <c r="N20" i="10"/>
  <c r="M28" i="11" s="1"/>
  <c r="O20" i="10"/>
  <c r="N28" i="11" s="1"/>
  <c r="D20" i="10"/>
  <c r="C28" i="11" s="1"/>
  <c r="D27" i="11"/>
  <c r="E27" i="11"/>
  <c r="F27" i="11"/>
  <c r="G27" i="11"/>
  <c r="H27" i="11"/>
  <c r="I27" i="11"/>
  <c r="J27" i="11"/>
  <c r="K27" i="11"/>
  <c r="L27" i="11"/>
  <c r="M27" i="11"/>
  <c r="N27" i="11"/>
  <c r="O27" i="11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D29" i="11" s="1"/>
  <c r="F14" i="10"/>
  <c r="E29" i="11" s="1"/>
  <c r="G14" i="10"/>
  <c r="F29" i="11" s="1"/>
  <c r="H14" i="10"/>
  <c r="G29" i="11" s="1"/>
  <c r="I14" i="10"/>
  <c r="H29" i="11" s="1"/>
  <c r="K14" i="10"/>
  <c r="L14" i="10"/>
  <c r="M14" i="10"/>
  <c r="L29" i="11" s="1"/>
  <c r="N14" i="10"/>
  <c r="M29" i="11" s="1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R23" i="5"/>
  <c r="AT23" i="5" s="1"/>
  <c r="AN23" i="5"/>
  <c r="AP23" i="5" s="1"/>
  <c r="AJ23" i="5"/>
  <c r="AL23" i="5" s="1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R13" i="5"/>
  <c r="AT13" i="5" s="1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P33" i="5" s="1"/>
  <c r="AB34" i="5"/>
  <c r="AB32" i="5"/>
  <c r="AR33" i="5"/>
  <c r="AT33" i="5" s="1"/>
  <c r="AF33" i="5"/>
  <c r="AH33" i="5" s="1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32" i="5" s="1"/>
  <c r="AT12" i="5"/>
  <c r="AV33" i="5"/>
  <c r="AX33" i="5" s="1"/>
  <c r="AX13" i="5"/>
  <c r="AN32" i="5"/>
  <c r="AJ32" i="5"/>
  <c r="AL32" i="5" s="1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K10" i="7"/>
  <c r="AD32" i="5"/>
  <c r="J9" i="7"/>
  <c r="AL33" i="5"/>
  <c r="L10" i="7"/>
  <c r="H9" i="7"/>
  <c r="I10" i="7"/>
  <c r="K9" i="7"/>
  <c r="O9" i="7"/>
  <c r="M10" i="7"/>
  <c r="AP32" i="5"/>
  <c r="M9" i="7"/>
  <c r="O10" i="7"/>
  <c r="I9" i="7"/>
  <c r="N9" i="7"/>
  <c r="G9" i="7"/>
  <c r="H10" i="7"/>
  <c r="L9" i="7"/>
  <c r="J10" i="7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<sst xmlns="http://schemas.openxmlformats.org/spreadsheetml/2006/main" count="250" uniqueCount="92">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</sst>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#N/A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45127.758676736114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/>
      </c>
      <c r="D1" s="50" t="str">
        <f>IF(D5="","",tech!$E23)</f>
        <v/>
      </c>
      <c r="E1" s="50" t="str">
        <f>IF(E5="","",tech!$E24)</f>
        <v/>
      </c>
      <c r="F1" s="50" t="str">
        <f>IF(F5="","",tech!$E25)</f>
        <v/>
      </c>
      <c r="G1" s="50" t="str">
        <f>IF(G5="","",tech!$E26)</f>
        <v/>
      </c>
      <c r="H1" s="50" t="str">
        <f>IF(H5="","",tech!$E27)</f>
        <v/>
      </c>
      <c r="I1" s="50" t="str">
        <f>IF(I5="","",tech!$E28)</f>
        <v/>
      </c>
      <c r="J1" s="50" t="str">
        <f>IF(J5="","",tech!$E29)</f>
        <v/>
      </c>
      <c r="K1" s="50" t="str">
        <f>IF(K5="","",tech!$E30)</f>
        <v/>
      </c>
      <c r="L1" s="50" t="str">
        <f>IF(L5="","",tech!$E31)</f>
        <v/>
      </c>
      <c r="M1" s="50" t="str">
        <f>IF(M5="","",tech!$E32)</f>
        <v/>
      </c>
      <c r="N1" s="50" t="str">
        <f>IF(N5="","",tech!$E33)</f>
        <v/>
      </c>
    </row>
    <row r="2" spans="2:17" x14ac:dyDescent="0.25">
      <c r="C2" s="16" t="str">
        <f t="shared" ref="C2:N2" si="0">C1</f>
        <v/>
      </c>
      <c r="D2" s="16" t="str">
        <f t="shared" si="0"/>
        <v/>
      </c>
      <c r="E2" s="16" t="str">
        <f t="shared" si="0"/>
        <v/>
      </c>
      <c r="F2" s="16" t="str">
        <f t="shared" si="0"/>
        <v/>
      </c>
      <c r="G2" s="16" t="str">
        <f t="shared" si="0"/>
        <v/>
      </c>
      <c r="H2" s="16" t="str">
        <f t="shared" si="0"/>
        <v/>
      </c>
      <c r="I2" s="16" t="str">
        <f t="shared" si="0"/>
        <v/>
      </c>
      <c r="J2" s="16" t="str">
        <f t="shared" si="0"/>
        <v/>
      </c>
      <c r="K2" s="16" t="str">
        <f t="shared" si="0"/>
        <v/>
      </c>
      <c r="L2" s="16" t="str">
        <f t="shared" si="0"/>
        <v/>
      </c>
      <c r="M2" s="16" t="str">
        <f t="shared" si="0"/>
        <v/>
      </c>
      <c r="N2" s="16" t="str">
        <f t="shared" si="0"/>
        <v/>
      </c>
      <c r="P2" s="16" t="s">
        <v>80</v>
      </c>
    </row>
    <row r="3" spans="2:17" x14ac:dyDescent="0.25">
      <c r="B3" s="6" t="s">
        <v>72</v>
      </c>
      <c r="C3" s="6" t="str">
        <f>IF(PL!D12="","",PL!D12)</f>
        <v/>
      </c>
      <c r="D3" s="6" t="str">
        <f>IF(PL!E12="","",PL!E12)</f>
        <v/>
      </c>
      <c r="E3" s="6" t="str">
        <f>IF(PL!F12="","",PL!F12)</f>
        <v/>
      </c>
      <c r="F3" s="6" t="str">
        <f>IF(PL!G12="","",PL!G12)</f>
        <v/>
      </c>
      <c r="G3" s="6" t="str">
        <f>IF(PL!H12="","",PL!H12)</f>
        <v/>
      </c>
      <c r="H3" s="6" t="str">
        <f>IF(PL!I12="","",PL!I12)</f>
        <v/>
      </c>
      <c r="I3" s="6" t="str">
        <f>IF(PL!J12="","",PL!J12)</f>
        <v/>
      </c>
      <c r="J3" s="6" t="str">
        <f>IF(PL!K12="","",PL!K12)</f>
        <v/>
      </c>
      <c r="K3" s="6" t="str">
        <f>IF(PL!L12="","",PL!L12)</f>
        <v/>
      </c>
      <c r="L3" s="6" t="str">
        <f>IF(PL!M12="","",PL!M12)</f>
        <v/>
      </c>
      <c r="M3" s="6" t="str">
        <f>IF(PL!N12="","",PL!N12)</f>
        <v/>
      </c>
      <c r="N3" s="6" t="str">
        <f>IF(PL!O12="","",PL!O12)</f>
        <v/>
      </c>
      <c r="P3" s="6" t="str">
        <f>B3</f>
        <v>Wpływy</v>
      </c>
      <c r="Q3" s="6" t="str">
        <f>IF(C3="","",SUM(C3:N3))</f>
        <v/>
      </c>
    </row>
    <row r="4" spans="2:17" x14ac:dyDescent="0.25">
      <c r="B4" s="6" t="s">
        <v>73</v>
      </c>
      <c r="C4" s="6" t="str">
        <f>IF(PL!D31="","",PL!D31)</f>
        <v/>
      </c>
      <c r="D4" s="6" t="str">
        <f>IF(PL!E31="","",PL!E31)</f>
        <v/>
      </c>
      <c r="E4" s="6" t="str">
        <f>IF(PL!F31="","",PL!F31)</f>
        <v/>
      </c>
      <c r="F4" s="6" t="str">
        <f>IF(PL!G31="","",PL!G31)</f>
        <v/>
      </c>
      <c r="G4" s="6" t="str">
        <f>IF(PL!H31="","",PL!H31)</f>
        <v/>
      </c>
      <c r="H4" s="6" t="str">
        <f>IF(PL!I31="","",PL!I31)</f>
        <v/>
      </c>
      <c r="I4" s="6" t="str">
        <f>IF(PL!J31="","",PL!J31)</f>
        <v/>
      </c>
      <c r="J4" s="6" t="str">
        <f>IF(PL!K31="","",PL!K31)</f>
        <v/>
      </c>
      <c r="K4" s="6" t="str">
        <f>IF(PL!L31="","",PL!L31)</f>
        <v/>
      </c>
      <c r="L4" s="6" t="str">
        <f>IF(PL!M31="","",PL!M31)</f>
        <v/>
      </c>
      <c r="M4" s="6" t="str">
        <f>IF(PL!N31="","",PL!N31)</f>
        <v/>
      </c>
      <c r="N4" s="6" t="str">
        <f>IF(PL!O31="","",PL!O31)</f>
        <v/>
      </c>
      <c r="P4" s="6" t="str">
        <f t="shared" ref="P4:P5" si="1">B4</f>
        <v>Koszty</v>
      </c>
      <c r="Q4" s="6" t="str">
        <f>IF(C4="","",SUM(C4:N4))</f>
        <v/>
      </c>
    </row>
    <row r="5" spans="2:17" x14ac:dyDescent="0.25">
      <c r="B5" s="6" t="s">
        <v>74</v>
      </c>
      <c r="C5" s="6" t="str">
        <f>IFERROR(C3-C4,"")</f>
        <v/>
      </c>
      <c r="D5" s="6" t="str">
        <f t="shared" ref="D5:N5" si="2">IFERROR(D3-D4,"")</f>
        <v/>
      </c>
      <c r="E5" s="6" t="str">
        <f t="shared" si="2"/>
        <v/>
      </c>
      <c r="F5" s="6" t="str">
        <f t="shared" si="2"/>
        <v/>
      </c>
      <c r="G5" s="6" t="str">
        <f t="shared" si="2"/>
        <v/>
      </c>
      <c r="H5" s="6" t="str">
        <f t="shared" si="2"/>
        <v/>
      </c>
      <c r="I5" s="6" t="str">
        <f t="shared" si="2"/>
        <v/>
      </c>
      <c r="J5" s="6" t="str">
        <f t="shared" si="2"/>
        <v/>
      </c>
      <c r="K5" s="6" t="str">
        <f t="shared" si="2"/>
        <v/>
      </c>
      <c r="L5" s="6" t="str">
        <f t="shared" si="2"/>
        <v/>
      </c>
      <c r="M5" s="6" t="str">
        <f t="shared" si="2"/>
        <v/>
      </c>
      <c r="N5" s="6" t="str">
        <f t="shared" si="2"/>
        <v/>
      </c>
      <c r="P5" s="6" t="str">
        <f t="shared" si="1"/>
        <v>Zysk lub strata</v>
      </c>
      <c r="Q5" s="6" t="str">
        <f>IFERROR(Q3-Q4,"")</f>
        <v/>
      </c>
    </row>
    <row r="7" spans="2:17" x14ac:dyDescent="0.25">
      <c r="B7" s="16" t="s">
        <v>75</v>
      </c>
    </row>
    <row r="8" spans="2:17" x14ac:dyDescent="0.25">
      <c r="C8" s="16" t="str">
        <f>C2</f>
        <v/>
      </c>
      <c r="D8" s="16" t="str">
        <f t="shared" ref="D8:N8" si="3">D2</f>
        <v/>
      </c>
      <c r="E8" s="16" t="str">
        <f t="shared" si="3"/>
        <v/>
      </c>
      <c r="F8" s="16" t="str">
        <f t="shared" si="3"/>
        <v/>
      </c>
      <c r="G8" s="16" t="str">
        <f t="shared" si="3"/>
        <v/>
      </c>
      <c r="H8" s="16" t="str">
        <f t="shared" si="3"/>
        <v/>
      </c>
      <c r="I8" s="16" t="str">
        <f t="shared" si="3"/>
        <v/>
      </c>
      <c r="J8" s="16" t="str">
        <f t="shared" si="3"/>
        <v/>
      </c>
      <c r="K8" s="16" t="str">
        <f t="shared" si="3"/>
        <v/>
      </c>
      <c r="L8" s="16" t="str">
        <f t="shared" si="3"/>
        <v/>
      </c>
      <c r="M8" s="16" t="str">
        <f t="shared" si="3"/>
        <v/>
      </c>
      <c r="N8" s="16" t="str">
        <f t="shared" si="3"/>
        <v/>
      </c>
      <c r="P8" s="16" t="s">
        <v>80</v>
      </c>
    </row>
    <row r="9" spans="2:17" x14ac:dyDescent="0.25">
      <c r="B9" s="6" t="s">
        <v>50</v>
      </c>
      <c r="C9" s="6" t="str">
        <f>IF(PL!D16="","",PL!D16)</f>
        <v/>
      </c>
      <c r="D9" s="6" t="str">
        <f>IF(PL!E16="","",PL!E16)</f>
        <v/>
      </c>
      <c r="E9" s="6" t="str">
        <f>IF(PL!F16="","",PL!F16)</f>
        <v/>
      </c>
      <c r="F9" s="6" t="str">
        <f>IF(PL!G16="","",PL!G16)</f>
        <v/>
      </c>
      <c r="G9" s="6" t="str">
        <f>IF(PL!H16="","",PL!H16)</f>
        <v/>
      </c>
      <c r="H9" s="6" t="str">
        <f>IF(PL!I16="","",PL!I16)</f>
        <v/>
      </c>
      <c r="I9" s="6" t="str">
        <f>IF(PL!J16="","",PL!J16)</f>
        <v/>
      </c>
      <c r="J9" s="6" t="str">
        <f>IF(PL!K16="","",PL!K16)</f>
        <v/>
      </c>
      <c r="K9" s="6" t="str">
        <f>IF(PL!L16="","",PL!L16)</f>
        <v/>
      </c>
      <c r="L9" s="6" t="str">
        <f>IF(PL!M16="","",PL!M16)</f>
        <v/>
      </c>
      <c r="M9" s="6" t="str">
        <f>IF(PL!N16="","",PL!N16)</f>
        <v/>
      </c>
      <c r="N9" s="6" t="str">
        <f>IF(PL!O16="","",PL!O16)</f>
        <v/>
      </c>
      <c r="P9" s="6" t="str">
        <f>B9</f>
        <v>Czynsz</v>
      </c>
      <c r="Q9" s="6">
        <f>SUM(C9:N9)</f>
        <v>0</v>
      </c>
    </row>
    <row r="10" spans="2:17" x14ac:dyDescent="0.25">
      <c r="B10" s="6" t="s">
        <v>51</v>
      </c>
      <c r="C10" s="6" t="str">
        <f>IF(PL!D17="","",PL!D17)</f>
        <v/>
      </c>
      <c r="D10" s="6" t="str">
        <f>IF(PL!E17="","",PL!E17)</f>
        <v/>
      </c>
      <c r="E10" s="6" t="str">
        <f>IF(PL!F17="","",PL!F17)</f>
        <v/>
      </c>
      <c r="F10" s="6" t="str">
        <f>IF(PL!G17="","",PL!G17)</f>
        <v/>
      </c>
      <c r="G10" s="6" t="str">
        <f>IF(PL!H17="","",PL!H17)</f>
        <v/>
      </c>
      <c r="H10" s="6" t="str">
        <f>IF(PL!I17="","",PL!I17)</f>
        <v/>
      </c>
      <c r="I10" s="6" t="str">
        <f>IF(PL!J17="","",PL!J17)</f>
        <v/>
      </c>
      <c r="J10" s="6" t="str">
        <f>IF(PL!K17="","",PL!K17)</f>
        <v/>
      </c>
      <c r="K10" s="6" t="str">
        <f>IF(PL!L17="","",PL!L17)</f>
        <v/>
      </c>
      <c r="L10" s="6" t="str">
        <f>IF(PL!M17="","",PL!M17)</f>
        <v/>
      </c>
      <c r="M10" s="6" t="str">
        <f>IF(PL!N17="","",PL!N17)</f>
        <v/>
      </c>
      <c r="N10" s="6" t="str">
        <f>IF(PL!O17="","",PL!O17)</f>
        <v/>
      </c>
      <c r="P10" s="6" t="str">
        <f t="shared" ref="P10:P16" si="4">B10</f>
        <v>Prąd</v>
      </c>
      <c r="Q10" s="6">
        <f t="shared" ref="Q10:Q16" si="5">SUM(C10:N10)</f>
        <v>0</v>
      </c>
    </row>
    <row r="11" spans="2:17" x14ac:dyDescent="0.25">
      <c r="B11" s="6" t="s">
        <v>52</v>
      </c>
      <c r="C11" s="6" t="str">
        <f>IF(PL!D18="","",PL!D18)</f>
        <v/>
      </c>
      <c r="D11" s="6" t="str">
        <f>IF(PL!E18="","",PL!E18)</f>
        <v/>
      </c>
      <c r="E11" s="6" t="str">
        <f>IF(PL!F18="","",PL!F18)</f>
        <v/>
      </c>
      <c r="F11" s="6" t="str">
        <f>IF(PL!G18="","",PL!G18)</f>
        <v/>
      </c>
      <c r="G11" s="6" t="str">
        <f>IF(PL!H18="","",PL!H18)</f>
        <v/>
      </c>
      <c r="H11" s="6" t="str">
        <f>IF(PL!I18="","",PL!I18)</f>
        <v/>
      </c>
      <c r="I11" s="6" t="str">
        <f>IF(PL!J18="","",PL!J18)</f>
        <v/>
      </c>
      <c r="J11" s="6" t="str">
        <f>IF(PL!K18="","",PL!K18)</f>
        <v/>
      </c>
      <c r="K11" s="6" t="str">
        <f>IF(PL!L18="","",PL!L18)</f>
        <v/>
      </c>
      <c r="L11" s="6" t="str">
        <f>IF(PL!M18="","",PL!M18)</f>
        <v/>
      </c>
      <c r="M11" s="6" t="str">
        <f>IF(PL!N18="","",PL!N18)</f>
        <v/>
      </c>
      <c r="N11" s="6" t="str">
        <f>IF(PL!O18="","",PL!O18)</f>
        <v/>
      </c>
      <c r="P11" s="6" t="str">
        <f t="shared" si="4"/>
        <v>Gaz</v>
      </c>
      <c r="Q11" s="6">
        <f t="shared" si="5"/>
        <v>0</v>
      </c>
    </row>
    <row r="12" spans="2:17" x14ac:dyDescent="0.25">
      <c r="B12" s="6" t="s">
        <v>84</v>
      </c>
      <c r="C12" s="6" t="str">
        <f>IF(PL!D19="","",PL!D19)</f>
        <v/>
      </c>
      <c r="D12" s="6" t="str">
        <f>IF(PL!E19="","",PL!E19)</f>
        <v/>
      </c>
      <c r="E12" s="6" t="str">
        <f>IF(PL!F19="","",PL!F19)</f>
        <v/>
      </c>
      <c r="F12" s="6" t="str">
        <f>IF(PL!G19="","",PL!G19)</f>
        <v/>
      </c>
      <c r="G12" s="6" t="str">
        <f>IF(PL!H19="","",PL!H19)</f>
        <v/>
      </c>
      <c r="H12" s="6" t="str">
        <f>IF(PL!I19="","",PL!I19)</f>
        <v/>
      </c>
      <c r="I12" s="6" t="str">
        <f>IF(PL!J19="","",PL!J19)</f>
        <v/>
      </c>
      <c r="J12" s="6" t="str">
        <f>IF(PL!K19="","",PL!K19)</f>
        <v/>
      </c>
      <c r="K12" s="6" t="str">
        <f>IF(PL!L19="","",PL!L19)</f>
        <v/>
      </c>
      <c r="L12" s="6" t="str">
        <f>IF(PL!M19="","",PL!M19)</f>
        <v/>
      </c>
      <c r="M12" s="6" t="str">
        <f>IF(PL!N19="","",PL!N19)</f>
        <v/>
      </c>
      <c r="N12" s="6" t="str">
        <f>IF(PL!O19="","",PL!O19)</f>
        <v/>
      </c>
      <c r="P12" s="6" t="str">
        <f t="shared" si="4"/>
        <v>Internet i TV</v>
      </c>
      <c r="Q12" s="6">
        <f t="shared" si="5"/>
        <v>0</v>
      </c>
    </row>
    <row r="13" spans="2:17" x14ac:dyDescent="0.25">
      <c r="B13" s="6" t="s">
        <v>70</v>
      </c>
      <c r="C13" s="6" t="str">
        <f>IF(PL!D20="","",PL!D20)</f>
        <v/>
      </c>
      <c r="D13" s="6" t="str">
        <f>IF(PL!E20="","",PL!E20)</f>
        <v/>
      </c>
      <c r="E13" s="6" t="str">
        <f>IF(PL!F20="","",PL!F20)</f>
        <v/>
      </c>
      <c r="F13" s="6" t="str">
        <f>IF(PL!G20="","",PL!G20)</f>
        <v/>
      </c>
      <c r="G13" s="6" t="str">
        <f>IF(PL!H20="","",PL!H20)</f>
        <v/>
      </c>
      <c r="H13" s="6" t="str">
        <f>IF(PL!I20="","",PL!I20)</f>
        <v/>
      </c>
      <c r="I13" s="6" t="str">
        <f>IF(PL!J20="","",PL!J20)</f>
        <v/>
      </c>
      <c r="J13" s="6" t="str">
        <f>IF(PL!K20="","",PL!K20)</f>
        <v/>
      </c>
      <c r="K13" s="6" t="str">
        <f>IF(PL!L20="","",PL!L20)</f>
        <v/>
      </c>
      <c r="L13" s="6" t="str">
        <f>IF(PL!M20="","",PL!M20)</f>
        <v/>
      </c>
      <c r="M13" s="6" t="str">
        <f>IF(PL!N20="","",PL!N20)</f>
        <v/>
      </c>
      <c r="N13" s="6" t="str">
        <f>IF(PL!O20="","",PL!O20)</f>
        <v/>
      </c>
      <c r="P13" s="6" t="str">
        <f t="shared" si="4"/>
        <v>Kredyt</v>
      </c>
      <c r="Q13" s="6">
        <f t="shared" si="5"/>
        <v>0</v>
      </c>
    </row>
    <row r="14" spans="2:17" x14ac:dyDescent="0.25">
      <c r="B14" s="6" t="s">
        <v>76</v>
      </c>
      <c r="C14" s="6" t="str">
        <f>IF(PL!D23="","",PL!D23)</f>
        <v/>
      </c>
      <c r="D14" s="6" t="str">
        <f>IF(PL!E23="","",PL!E23)</f>
        <v/>
      </c>
      <c r="E14" s="6" t="str">
        <f>IF(PL!F23="","",PL!F23)</f>
        <v/>
      </c>
      <c r="F14" s="6" t="str">
        <f>IF(PL!G23="","",PL!G23)</f>
        <v/>
      </c>
      <c r="G14" s="6" t="str">
        <f>IF(PL!H23="","",PL!H23)</f>
        <v/>
      </c>
      <c r="H14" s="6" t="str">
        <f>IF(PL!I23="","",PL!I23)</f>
        <v/>
      </c>
      <c r="I14" s="6" t="str">
        <f>IF(PL!J23="","",PL!J23)</f>
        <v/>
      </c>
      <c r="J14" s="6" t="str">
        <f>IF(PL!K23="","",PL!K23)</f>
        <v/>
      </c>
      <c r="K14" s="6" t="str">
        <f>IF(PL!L23="","",PL!L23)</f>
        <v/>
      </c>
      <c r="L14" s="6" t="str">
        <f>IF(PL!M23="","",PL!M23)</f>
        <v/>
      </c>
      <c r="M14" s="6" t="str">
        <f>IF(PL!N23="","",PL!N23)</f>
        <v/>
      </c>
      <c r="N14" s="6" t="str">
        <f>IF(PL!O23="","",PL!O23)</f>
        <v/>
      </c>
      <c r="P14" s="6" t="str">
        <f t="shared" si="4"/>
        <v>Zakupy</v>
      </c>
      <c r="Q14" s="6">
        <f t="shared" si="5"/>
        <v>0</v>
      </c>
    </row>
    <row r="15" spans="2:17" x14ac:dyDescent="0.25">
      <c r="B15" s="6" t="s">
        <v>90</v>
      </c>
      <c r="C15" s="6" t="str">
        <f>IF(PL!D24="","",PL!D24)</f>
        <v/>
      </c>
      <c r="D15" s="6" t="str">
        <f>IF(PL!E24="","",PL!E24)</f>
        <v/>
      </c>
      <c r="E15" s="6" t="str">
        <f>IF(PL!F24="","",PL!F24)</f>
        <v/>
      </c>
      <c r="F15" s="6" t="str">
        <f>IF(PL!G24="","",PL!G24)</f>
        <v/>
      </c>
      <c r="G15" s="6" t="str">
        <f>IF(PL!H24="","",PL!H24)</f>
        <v/>
      </c>
      <c r="H15" s="6" t="str">
        <f>IF(PL!I24="","",PL!I24)</f>
        <v/>
      </c>
      <c r="I15" s="6" t="str">
        <f>IF(PL!J24="","",PL!J24)</f>
        <v/>
      </c>
      <c r="J15" s="6" t="str">
        <f>IF(PL!K24="","",PL!K24)</f>
        <v/>
      </c>
      <c r="P15" s="6" t="str">
        <f t="shared" si="4"/>
        <v>Zakupy specjalne</v>
      </c>
      <c r="Q15" s="6">
        <f t="shared" si="5"/>
        <v>0</v>
      </c>
    </row>
    <row r="16" spans="2:17" x14ac:dyDescent="0.25">
      <c r="B16" s="6" t="s">
        <v>55</v>
      </c>
      <c r="C16" s="6" t="str">
        <f>IF(PL!D29="","",PL!D29)</f>
        <v/>
      </c>
      <c r="D16" s="6" t="str">
        <f>IF(PL!E29="","",PL!E29)</f>
        <v/>
      </c>
      <c r="E16" s="6" t="str">
        <f>IF(PL!F29="","",PL!F29)</f>
        <v/>
      </c>
      <c r="F16" s="6" t="str">
        <f>IF(PL!G29="","",PL!G29)</f>
        <v/>
      </c>
      <c r="G16" s="6" t="str">
        <f>IF(PL!H29="","",PL!H29)</f>
        <v/>
      </c>
      <c r="H16" s="6" t="str">
        <f>IF(PL!I29="","",PL!I29)</f>
        <v/>
      </c>
      <c r="I16" s="6" t="str">
        <f>IF(PL!J29="","",PL!J29)</f>
        <v/>
      </c>
      <c r="J16" s="6" t="str">
        <f>IF(PL!K29="","",PL!K29)</f>
        <v/>
      </c>
      <c r="K16" s="6" t="str">
        <f>IF(PL!L24="","",PL!L24)</f>
        <v/>
      </c>
      <c r="L16" s="6" t="str">
        <f>IF(PL!M24="","",PL!M24)</f>
        <v/>
      </c>
      <c r="M16" s="6" t="str">
        <f>IF(PL!N24="","",PL!N24)</f>
        <v/>
      </c>
      <c r="N16" s="6" t="str">
        <f>IF(PL!O24="","",PL!O24)</f>
        <v/>
      </c>
      <c r="P16" s="6" t="str">
        <f t="shared" si="4"/>
        <v>Samochód</v>
      </c>
      <c r="Q16" s="6">
        <f t="shared" si="5"/>
        <v>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/>
      </c>
      <c r="D19" s="16" t="str">
        <f t="shared" ref="D19:N19" si="6">D2</f>
        <v/>
      </c>
      <c r="E19" s="16" t="str">
        <f t="shared" si="6"/>
        <v/>
      </c>
      <c r="F19" s="16" t="str">
        <f t="shared" si="6"/>
        <v/>
      </c>
      <c r="G19" s="16" t="str">
        <f t="shared" si="6"/>
        <v/>
      </c>
      <c r="H19" s="16" t="str">
        <f t="shared" si="6"/>
        <v/>
      </c>
      <c r="I19" s="16" t="str">
        <f t="shared" si="6"/>
        <v/>
      </c>
      <c r="J19" s="16" t="str">
        <f t="shared" si="6"/>
        <v/>
      </c>
      <c r="K19" s="16" t="str">
        <f t="shared" si="6"/>
        <v/>
      </c>
      <c r="L19" s="16" t="str">
        <f t="shared" si="6"/>
        <v/>
      </c>
      <c r="M19" s="16" t="str">
        <f t="shared" si="6"/>
        <v/>
      </c>
      <c r="N19" s="16" t="str">
        <f t="shared" si="6"/>
        <v/>
      </c>
      <c r="P19" s="16" t="s">
        <v>79</v>
      </c>
    </row>
    <row r="20" spans="2:18" x14ac:dyDescent="0.25">
      <c r="B20" s="6" t="s">
        <v>82</v>
      </c>
      <c r="C20" s="6" t="str">
        <f>IF(BS!D29="","",BS!D29)</f>
        <v/>
      </c>
      <c r="D20" s="6" t="str">
        <f>IF(BS!E29="","",BS!E29)</f>
        <v/>
      </c>
      <c r="E20" s="6" t="str">
        <f>IF(BS!F29="","",BS!F29)</f>
        <v/>
      </c>
      <c r="F20" s="6" t="str">
        <f>IF(BS!G29="","",BS!G29)</f>
        <v/>
      </c>
      <c r="G20" s="6" t="str">
        <f>IF(BS!H29="","",BS!H29)</f>
        <v/>
      </c>
      <c r="H20" s="6" t="str">
        <f>IF(BS!I29="","",BS!I29)</f>
        <v/>
      </c>
      <c r="I20" s="6" t="str">
        <f>IF(BS!J29="","",BS!J29)</f>
        <v/>
      </c>
      <c r="J20" s="6" t="str">
        <f>IF(BS!K29="","",BS!K29)</f>
        <v/>
      </c>
      <c r="K20" s="6" t="str">
        <f>IF(BS!L29="","",BS!L29)</f>
        <v/>
      </c>
      <c r="L20" s="6" t="str">
        <f>IF(BS!M29="","",BS!M29)</f>
        <v/>
      </c>
      <c r="M20" s="6" t="str">
        <f>IF(BS!N29="","",BS!N29)</f>
        <v/>
      </c>
      <c r="N20" s="6" t="str">
        <f>IF(BS!O29="","",BS!O29)</f>
        <v/>
      </c>
      <c r="P20" s="6" t="str">
        <f>B20</f>
        <v>Aktywa</v>
      </c>
      <c r="Q20" s="6" t="e" cm="1">
        <f t="array" ref="Q20">LOOKUP(2,1/(C20:N20&lt;&gt;""),C20:N20)</f>
        <v>#N/A</v>
      </c>
      <c r="R20" s="46" t="e">
        <f>Q20/(SUM(Q20:Q21))</f>
        <v>#N/A</v>
      </c>
    </row>
    <row r="21" spans="2:18" x14ac:dyDescent="0.25">
      <c r="B21" s="6" t="s">
        <v>83</v>
      </c>
      <c r="C21" s="6" t="str">
        <f>IF(BS!D33="","",BS!D33)</f>
        <v/>
      </c>
      <c r="D21" s="6" t="str">
        <f>IF(BS!E33="","",BS!E33)</f>
        <v/>
      </c>
      <c r="E21" s="6" t="str">
        <f>IF(BS!F33="","",BS!F33)</f>
        <v/>
      </c>
      <c r="F21" s="6" t="str">
        <f>IF(BS!G33="","",BS!G33)</f>
        <v/>
      </c>
      <c r="G21" s="6" t="str">
        <f>IF(BS!H33="","",BS!H33)</f>
        <v/>
      </c>
      <c r="H21" s="6" t="str">
        <f>IF(BS!I33="","",BS!I33)</f>
        <v/>
      </c>
      <c r="I21" s="6" t="str">
        <f>IF(BS!J33="","",BS!J33)</f>
        <v/>
      </c>
      <c r="J21" s="6" t="str">
        <f>IF(BS!K33="","",BS!K33)</f>
        <v/>
      </c>
      <c r="K21" s="6" t="str">
        <f>IF(BS!L33="","",BS!L33)</f>
        <v/>
      </c>
      <c r="L21" s="6" t="str">
        <f>IF(BS!M33="","",BS!M33)</f>
        <v/>
      </c>
      <c r="M21" s="6" t="str">
        <f>IF(BS!N33="","",BS!N33)</f>
        <v/>
      </c>
      <c r="N21" s="6" t="str">
        <f>IF(BS!O33="","",BS!O33)</f>
        <v/>
      </c>
      <c r="P21" s="6" t="str">
        <f t="shared" ref="P21:P22" si="7">B21</f>
        <v>Pasywa</v>
      </c>
      <c r="Q21" s="6" t="e" cm="1">
        <f t="array" ref="Q21">LOOKUP(2,1/(C21:N21&lt;&gt;""),C21:N21)</f>
        <v>#N/A</v>
      </c>
    </row>
    <row r="22" spans="2:18" x14ac:dyDescent="0.25">
      <c r="B22" s="6" t="s">
        <v>85</v>
      </c>
      <c r="C22" s="6" t="str">
        <f>IFERROR(C20-C21,"")</f>
        <v/>
      </c>
      <c r="D22" s="6" t="str">
        <f t="shared" ref="D22:N22" si="8">IFERROR(D20-D21,"")</f>
        <v/>
      </c>
      <c r="E22" s="6" t="str">
        <f t="shared" si="8"/>
        <v/>
      </c>
      <c r="F22" s="6" t="str">
        <f t="shared" si="8"/>
        <v/>
      </c>
      <c r="G22" s="6" t="str">
        <f t="shared" si="8"/>
        <v/>
      </c>
      <c r="H22" s="6" t="str">
        <f t="shared" si="8"/>
        <v/>
      </c>
      <c r="I22" s="6" t="str">
        <f t="shared" si="8"/>
        <v/>
      </c>
      <c r="J22" s="6" t="str">
        <f t="shared" si="8"/>
        <v/>
      </c>
      <c r="K22" s="6" t="str">
        <f t="shared" si="8"/>
        <v/>
      </c>
      <c r="L22" s="6" t="str">
        <f t="shared" si="8"/>
        <v/>
      </c>
      <c r="M22" s="6" t="str">
        <f t="shared" si="8"/>
        <v/>
      </c>
      <c r="N22" s="6" t="str">
        <f t="shared" si="8"/>
        <v/>
      </c>
      <c r="P22" s="6" t="str">
        <f t="shared" si="7"/>
        <v>Netto</v>
      </c>
      <c r="Q22" s="6" t="str">
        <f>IFERROR(Q20-Q21,"")</f>
        <v/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/>
      </c>
      <c r="D25" s="16" t="str">
        <f t="shared" ref="D25:N25" si="9">D2</f>
        <v/>
      </c>
      <c r="E25" s="16" t="str">
        <f t="shared" si="9"/>
        <v/>
      </c>
      <c r="F25" s="16" t="str">
        <f t="shared" si="9"/>
        <v/>
      </c>
      <c r="G25" s="16" t="str">
        <f t="shared" si="9"/>
        <v/>
      </c>
      <c r="H25" s="16" t="str">
        <f t="shared" si="9"/>
        <v/>
      </c>
      <c r="I25" s="16" t="str">
        <f t="shared" si="9"/>
        <v/>
      </c>
      <c r="J25" s="16" t="str">
        <f t="shared" si="9"/>
        <v/>
      </c>
      <c r="K25" s="16" t="str">
        <f t="shared" si="9"/>
        <v/>
      </c>
      <c r="L25" s="16" t="str">
        <f t="shared" si="9"/>
        <v/>
      </c>
      <c r="M25" s="16" t="str">
        <f t="shared" si="9"/>
        <v/>
      </c>
      <c r="N25" s="16" t="str">
        <f t="shared" si="9"/>
        <v/>
      </c>
      <c r="P25" s="16" t="s">
        <v>79</v>
      </c>
    </row>
    <row r="26" spans="2:18" x14ac:dyDescent="0.25">
      <c r="B26" s="6" t="s">
        <v>63</v>
      </c>
      <c r="C26" s="6" t="str">
        <f>IF(BS!D10="","",BS!D10)</f>
        <v/>
      </c>
      <c r="D26" s="6" t="str">
        <f>IF(BS!E10="","",BS!E10)</f>
        <v/>
      </c>
      <c r="E26" s="6" t="str">
        <f>IF(BS!F10="","",BS!F10)</f>
        <v/>
      </c>
      <c r="F26" s="6" t="str">
        <f>IF(BS!G10="","",BS!G10)</f>
        <v/>
      </c>
      <c r="G26" s="6" t="str">
        <f>IF(BS!H10="","",BS!H10)</f>
        <v/>
      </c>
      <c r="H26" s="6" t="str">
        <f>IF(BS!I10="","",BS!I10)</f>
        <v/>
      </c>
      <c r="I26" s="6" t="str">
        <f>IF(BS!J10="","",BS!J10)</f>
        <v/>
      </c>
      <c r="J26" s="6" t="str">
        <f>IF(BS!K10="","",BS!K10)</f>
        <v/>
      </c>
      <c r="K26" s="6" t="str">
        <f>IF(BS!L10="","",BS!L10)</f>
        <v/>
      </c>
      <c r="L26" s="6" t="str">
        <f>IF(BS!M10="","",BS!M10)</f>
        <v/>
      </c>
      <c r="M26" s="6" t="str">
        <f>IF(BS!N10="","",BS!N10)</f>
        <v/>
      </c>
      <c r="N26" s="6" t="str">
        <f>IF(BS!O10="","",BS!O10)</f>
        <v/>
      </c>
      <c r="P26" s="6" t="str">
        <f>B26</f>
        <v>Lokaty</v>
      </c>
      <c r="Q26" s="6" t="e" cm="1">
        <f t="array" ref="Q26">LOOKUP(2,1/(C26:N26&lt;&gt;""),C26:N26)</f>
        <v>#N/A</v>
      </c>
    </row>
    <row r="27" spans="2:18" x14ac:dyDescent="0.25">
      <c r="B27" s="6" t="s">
        <v>1</v>
      </c>
      <c r="C27" s="6" t="str">
        <f>IF(BS!D9="","",BS!D9)</f>
        <v/>
      </c>
      <c r="D27" s="6" t="str">
        <f>IF(BS!E9="","",BS!E9)</f>
        <v/>
      </c>
      <c r="E27" s="6" t="str">
        <f>IF(BS!F9="","",BS!F9)</f>
        <v/>
      </c>
      <c r="F27" s="6" t="str">
        <f>IF(BS!G9="","",BS!G9)</f>
        <v/>
      </c>
      <c r="G27" s="6" t="str">
        <f>IF(BS!H9="","",BS!H9)</f>
        <v/>
      </c>
      <c r="H27" s="6" t="str">
        <f>IF(BS!I9="","",BS!I9)</f>
        <v/>
      </c>
      <c r="I27" s="6" t="str">
        <f>IF(BS!J9="","",BS!J9)</f>
        <v/>
      </c>
      <c r="J27" s="6" t="str">
        <f>IF(BS!K9="","",BS!K9)</f>
        <v/>
      </c>
      <c r="K27" s="6" t="str">
        <f>IF(BS!L9="","",BS!L9)</f>
        <v/>
      </c>
      <c r="L27" s="6" t="str">
        <f>IF(BS!M9="","",BS!M9)</f>
        <v/>
      </c>
      <c r="M27" s="6" t="str">
        <f>IF(BS!N9="","",BS!N9)</f>
        <v/>
      </c>
      <c r="N27" s="6" t="str">
        <f>IF(BS!O9="","",BS!O9)</f>
        <v/>
      </c>
      <c r="O27" s="6" t="str">
        <f>IF(BS!P9="","",BS!P9)</f>
        <v/>
      </c>
      <c r="P27" s="6" t="str">
        <f t="shared" ref="P27:P29" si="10">B27</f>
        <v>Oszczędności</v>
      </c>
      <c r="Q27" s="6" t="e" cm="1">
        <f t="array" ref="Q27">LOOKUP(2,1/(C27:N27&lt;&gt;""),C27:N27)</f>
        <v>#N/A</v>
      </c>
    </row>
    <row r="28" spans="2:18" x14ac:dyDescent="0.25">
      <c r="B28" s="6" t="s">
        <v>65</v>
      </c>
      <c r="C28" s="6" t="str">
        <f>IF(BS!D20="","",BS!D20)</f>
        <v/>
      </c>
      <c r="D28" s="6" t="str">
        <f>IF(BS!E20="","",BS!E20)</f>
        <v/>
      </c>
      <c r="E28" s="6" t="str">
        <f>IF(BS!F20="","",BS!F20)</f>
        <v/>
      </c>
      <c r="F28" s="6" t="str">
        <f>IF(BS!G20="","",BS!G20)</f>
        <v/>
      </c>
      <c r="G28" s="6" t="str">
        <f>IF(BS!H20="","",BS!H20)</f>
        <v/>
      </c>
      <c r="H28" s="6" t="str">
        <f>IF(BS!I20="","",BS!I20)</f>
        <v/>
      </c>
      <c r="I28" s="6" t="str">
        <f>IF(BS!J20="","",BS!J20)</f>
        <v/>
      </c>
      <c r="J28" s="6" t="str">
        <f>IF(BS!K20="","",BS!K20)</f>
        <v/>
      </c>
      <c r="K28" s="6" t="str">
        <f>IF(BS!L20="","",BS!L20)</f>
        <v/>
      </c>
      <c r="L28" s="6" t="str">
        <f>IF(BS!M20="","",BS!M20)</f>
        <v/>
      </c>
      <c r="M28" s="6" t="str">
        <f>IF(BS!N20="","",BS!N20)</f>
        <v/>
      </c>
      <c r="N28" s="6" t="str">
        <f>IF(BS!O20="","",BS!O20)</f>
        <v/>
      </c>
      <c r="P28" s="6" t="str">
        <f t="shared" si="10"/>
        <v>Fundusze</v>
      </c>
      <c r="Q28" s="6" t="e" cm="1">
        <f t="array" ref="Q28">LOOKUP(2,1/(C28:N28&lt;&gt;""),C28:N28)</f>
        <v>#N/A</v>
      </c>
    </row>
    <row r="29" spans="2:18" x14ac:dyDescent="0.25">
      <c r="B29" s="6" t="s">
        <v>64</v>
      </c>
      <c r="C29" s="6" t="str">
        <f>IF(BS!D14="","",BS!D14)</f>
        <v/>
      </c>
      <c r="D29" s="6" t="str">
        <f>IF(BS!E14="","",BS!E14)</f>
        <v/>
      </c>
      <c r="E29" s="6" t="str">
        <f>IF(BS!F14="","",BS!F14)</f>
        <v/>
      </c>
      <c r="F29" s="6" t="str">
        <f>IF(BS!G14="","",BS!G14)</f>
        <v/>
      </c>
      <c r="G29" s="6" t="str">
        <f>IF(BS!H14="","",BS!H14)</f>
        <v/>
      </c>
      <c r="H29" s="6" t="str">
        <f>IF(BS!I14="","",BS!I14)</f>
        <v/>
      </c>
      <c r="I29" s="6" t="str">
        <f>IF(BS!J14="","",BS!J14)</f>
        <v/>
      </c>
      <c r="J29" s="6" t="str">
        <f>IF(BS!K14="","",BS!K14)</f>
        <v/>
      </c>
      <c r="K29" s="6" t="str">
        <f>IF(BS!L14="","",BS!L14)</f>
        <v/>
      </c>
      <c r="L29" s="6" t="str">
        <f>IF(BS!M14="","",BS!M14)</f>
        <v/>
      </c>
      <c r="M29" s="6" t="str">
        <f>IF(BS!N14="","",BS!N14)</f>
        <v/>
      </c>
      <c r="N29" s="6" t="str">
        <f>IF(BS!O14="","",BS!O14)</f>
        <v/>
      </c>
      <c r="P29" s="6" t="str">
        <f t="shared" si="10"/>
        <v>Akcje</v>
      </c>
      <c r="Q29" s="6" t="e" cm="1">
        <f t="array" ref="Q29">LOOKUP(2,1/(C29:N29&lt;&gt;""),C29:N29)</f>
        <v>#N/A</v>
      </c>
    </row>
    <row r="31" spans="2:18" x14ac:dyDescent="0.25">
      <c r="B31" s="6" t="s">
        <v>81</v>
      </c>
      <c r="C31" s="6" t="str">
        <f>IF(AND(BS!D9="",BS!D10=""),"",BS!D9+BS!D10)</f>
        <v/>
      </c>
      <c r="D31" s="6" t="str">
        <f>IF(AND(BS!E9="",BS!E10=""),"",BS!E9+BS!E10)</f>
        <v/>
      </c>
      <c r="E31" s="6" t="str">
        <f>IF(AND(BS!F9="",BS!F10=""),"",BS!F9+BS!F10)</f>
        <v/>
      </c>
      <c r="F31" s="6" t="str">
        <f>IF(AND(BS!G9="",BS!G10=""),"",BS!G9+BS!G10)</f>
        <v/>
      </c>
      <c r="G31" s="6" t="str">
        <f>IF(AND(BS!H9="",BS!H10=""),"",BS!H9+BS!H10)</f>
        <v/>
      </c>
      <c r="H31" s="6" t="str">
        <f>IF(AND(BS!I9="",BS!I10=""),"",BS!I9+BS!I10)</f>
        <v/>
      </c>
      <c r="I31" s="6" t="str">
        <f>IF(AND(BS!J9="",BS!J10=""),"",BS!J9+BS!J10)</f>
        <v/>
      </c>
      <c r="J31" s="6" t="str">
        <f>IF(AND(BS!K9="",BS!K10=""),"",BS!K9+BS!K10)</f>
        <v/>
      </c>
      <c r="K31" s="6" t="str">
        <f>IF(AND(BS!L9="",BS!L10=""),"",BS!L9+BS!L10)</f>
        <v/>
      </c>
      <c r="L31" s="6" t="str">
        <f>IF(AND(BS!M9="",BS!M10=""),"",BS!M9+BS!M10)</f>
        <v/>
      </c>
      <c r="M31" s="6" t="str">
        <f>IF(AND(BS!N9="",BS!N10=""),"",BS!N9+BS!N10)</f>
        <v/>
      </c>
      <c r="N31" s="6" t="str">
        <f>IF(AND(BS!O9="",BS!O10=""),"",BS!O9+BS!O10)</f>
        <v/>
      </c>
      <c r="P31" s="6" t="str">
        <f>B31</f>
        <v>Oszczędności i lokaty</v>
      </c>
      <c r="Q31" s="6" t="e" cm="1">
        <f t="array" ref="Q31">LOOKUP(2,1/(C31:N31&lt;&gt;""),C31:N31)</f>
        <v>#N/A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C1" sqref="C1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/>
      <c r="E8" s="14" t="str">
        <f>IF(D8="","",IF(E14&gt;D8,"REAL &gt; Wypłata!",""))</f>
        <v/>
      </c>
      <c r="H8" s="7"/>
      <c r="I8" s="14" t="str">
        <f>IF(H8="","",IF(I14&gt;H8,"REAL &gt; Wypłata!",""))</f>
        <v/>
      </c>
      <c r="J8" s="6"/>
      <c r="L8" s="7"/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 t="str">
        <f>IF(D8="","",SUM(D8:AX8))</f>
        <v/>
      </c>
    </row>
    <row r="9" spans="2:56" x14ac:dyDescent="0.25">
      <c r="B9" t="s">
        <v>37</v>
      </c>
      <c r="D9" s="7"/>
      <c r="H9" s="7"/>
      <c r="I9" s="6"/>
      <c r="J9" s="6"/>
      <c r="L9" s="7"/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 t="str">
        <f>IF(D9="","",SUM(D9:AX9))</f>
        <v/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 t="str">
        <f>IF(D8="","",D8*rate_home-D9)</f>
        <v/>
      </c>
      <c r="E12" s="10"/>
      <c r="F12" s="10" t="str">
        <f>IFERROR(IF(E12="","",E12-D12),"")</f>
        <v/>
      </c>
      <c r="H12" s="10" t="str">
        <f>IF(H8="","",H8*rate_home-H9)</f>
        <v/>
      </c>
      <c r="I12" s="10"/>
      <c r="J12" s="10" t="str">
        <f>IFERROR(IF(I12="","",I12-H12),"")</f>
        <v/>
      </c>
      <c r="L12" s="10" t="str">
        <f>IF(L8="","",L8*rate_home-L9)</f>
        <v/>
      </c>
      <c r="M12" s="10"/>
      <c r="N12" s="10" t="str">
        <f>IFERROR(IF(M12="","",M12-L12),"")</f>
        <v/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 t="str">
        <f>IF(D12="","",SUM(D12,H12,L12,P12,T12,X12,AB12,AF12,AJ12,AN12,AR12,AV12))</f>
        <v/>
      </c>
      <c r="BB12" s="10" t="str">
        <f>IF(E12="","",SUM(E12,I12,M12,Q12,U12,Y12,AC12,AG12,AK12,AO12,AS12,AW12))</f>
        <v/>
      </c>
      <c r="BC12" s="10" t="str">
        <f>IFERROR(IF(BB12="","",BB12-BA12),"")</f>
        <v/>
      </c>
    </row>
    <row r="13" spans="2:56" x14ac:dyDescent="0.25">
      <c r="B13" t="s">
        <v>1</v>
      </c>
      <c r="D13" s="10" t="str">
        <f>IF(D8="","",D8*rate_savings)</f>
        <v/>
      </c>
      <c r="E13" s="10"/>
      <c r="F13" s="10" t="str">
        <f>IFERROR(IF(E13="","",E13-D13),"")</f>
        <v/>
      </c>
      <c r="H13" s="10" t="str">
        <f>IF(H8="","",H8*rate_savings)</f>
        <v/>
      </c>
      <c r="I13" s="10"/>
      <c r="J13" s="10" t="str">
        <f>IFERROR(IF(I13="","",I13-H13),"")</f>
        <v/>
      </c>
      <c r="L13" s="10" t="str">
        <f>IF(L8="","",L8*rate_savings)</f>
        <v/>
      </c>
      <c r="M13" s="10"/>
      <c r="N13" s="10" t="str">
        <f>IFERROR(IF(M13="","",M13-L13),"")</f>
        <v/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 t="str">
        <f>IF(D13="","",SUM(D13,H13,L13,P13,T13,X13,AB13,AF13,AJ13,AN13,AR13,AV13))</f>
        <v/>
      </c>
      <c r="BB13" s="10" t="str">
        <f>IF(E13="","",SUM(E13,I13,M13,Q13,U13,Y13,AC13,AG13,AK13,AO13,AS13,AW13))</f>
        <v/>
      </c>
      <c r="BC13" s="10" t="str">
        <f>IFERROR(IF(BB13="","",BB13-BA13),"")</f>
        <v/>
      </c>
    </row>
    <row r="14" spans="2:56" x14ac:dyDescent="0.25">
      <c r="B14" t="s">
        <v>2</v>
      </c>
      <c r="D14" s="10" t="str">
        <f>IF(D8="","",D8*rate_fun)</f>
        <v/>
      </c>
      <c r="E14" s="13">
        <f>SUM(E12:E13)</f>
        <v>0</v>
      </c>
      <c r="F14" s="11"/>
      <c r="H14" s="10" t="str">
        <f>IF(H8="","",H8*rate_fun)</f>
        <v/>
      </c>
      <c r="I14" s="13">
        <f>SUM(I12:I13)</f>
        <v>0</v>
      </c>
      <c r="J14" s="11"/>
      <c r="L14" s="10" t="str">
        <f>IF(L8="","",L8*rate_fun)</f>
        <v/>
      </c>
      <c r="M14" s="13">
        <f>SUM(M12:M13)</f>
        <v>0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 t="str">
        <f>IF(D14="","",SUM(D14,H14,L14,P14,T14,X14,AB14,AF14,AJ14,AN14,AR14,AV14))</f>
        <v/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/>
      <c r="E18" s="14" t="str">
        <f>IF(D18="","",IF(E24&gt;D18,"REAL &gt; Wypłata!",""))</f>
        <v/>
      </c>
      <c r="H18" s="7"/>
      <c r="I18" s="14" t="str">
        <f>IF(H18="","",IF(I24&gt;H18,"REAL &gt; Wypłata!",""))</f>
        <v/>
      </c>
      <c r="J18" s="6"/>
      <c r="L18" s="7"/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 t="str">
        <f>IF(D18="","",SUM(D18:AX18))</f>
        <v/>
      </c>
    </row>
    <row r="19" spans="2:55" x14ac:dyDescent="0.25">
      <c r="B19" s="4" t="s">
        <v>37</v>
      </c>
      <c r="D19" s="7"/>
      <c r="H19" s="7"/>
      <c r="I19" s="6"/>
      <c r="J19" s="6"/>
      <c r="L19" s="7"/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 t="str">
        <f>IF(D19="","",SUM(D19:AX19))</f>
        <v/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 t="str">
        <f>IF(D18="","",D18*rate_home-D19)</f>
        <v/>
      </c>
      <c r="E22" s="10"/>
      <c r="F22" s="10" t="str">
        <f>IFERROR(IF(E22="","",E22-D22),"")</f>
        <v/>
      </c>
      <c r="H22" s="10" t="str">
        <f>IF(H18="","",H18*rate_home-H19)</f>
        <v/>
      </c>
      <c r="I22" s="10"/>
      <c r="J22" s="10" t="str">
        <f>IFERROR(IF(I22="","",I22-H22),"")</f>
        <v/>
      </c>
      <c r="L22" s="10" t="str">
        <f>IF(L18="","",L18*rate_home-L19)</f>
        <v/>
      </c>
      <c r="M22" s="10"/>
      <c r="N22" s="10" t="str">
        <f>IFERROR(IF(M22="","",M22-L22),"")</f>
        <v/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 t="str">
        <f>IF(D22="","",SUM(D22,H22,L22,P22,T22,X22,AB22,AF22,AJ22,AN22,AR22,AV22))</f>
        <v/>
      </c>
      <c r="BB22" s="10" t="str">
        <f>IF(E22="","",SUM(E22,I22,M22,Q22,U22,Y22,AC22,AG22,AK22,AO22,AS22,AW22))</f>
        <v/>
      </c>
      <c r="BC22" s="10" t="str">
        <f>IFERROR(IF(BB22="","",BB22-BA22),"")</f>
        <v/>
      </c>
    </row>
    <row r="23" spans="2:55" x14ac:dyDescent="0.25">
      <c r="B23" t="s">
        <v>1</v>
      </c>
      <c r="D23" s="10" t="str">
        <f>IF(D18="","",D18*rate_savings)</f>
        <v/>
      </c>
      <c r="E23" s="10"/>
      <c r="F23" s="10" t="str">
        <f>IFERROR(IF(E23="","",E23-D23),"")</f>
        <v/>
      </c>
      <c r="H23" s="10" t="str">
        <f>IF(H18="","",H18*rate_savings)</f>
        <v/>
      </c>
      <c r="I23" s="10"/>
      <c r="J23" s="10" t="str">
        <f>IFERROR(IF(I23="","",I23-H23),"")</f>
        <v/>
      </c>
      <c r="L23" s="10" t="str">
        <f>IF(L18="","",L18*rate_savings)</f>
        <v/>
      </c>
      <c r="M23" s="10"/>
      <c r="N23" s="10" t="str">
        <f>IFERROR(IF(M23="","",M23-L23),"")</f>
        <v/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 t="str">
        <f>IF(D23="","",SUM(D23,H23,L23,P23,T23,X23,AB23,AF23,AJ23,AN23,AR23,AV23))</f>
        <v/>
      </c>
      <c r="BB23" s="10" t="str">
        <f>IF(E23="","",SUM(E23,I23,M23,Q23,U23,Y23,AC23,AG23,AK23,AO23,AS23,AW23))</f>
        <v/>
      </c>
      <c r="BC23" s="10" t="str">
        <f>IFERROR(IF(BB23="","",BB23-BA23),"")</f>
        <v/>
      </c>
    </row>
    <row r="24" spans="2:55" x14ac:dyDescent="0.25">
      <c r="B24" t="s">
        <v>2</v>
      </c>
      <c r="D24" s="10" t="str">
        <f>IF(D18="","",D18*rate_fun)</f>
        <v/>
      </c>
      <c r="E24" s="13">
        <f>SUM(E22:E23)</f>
        <v>0</v>
      </c>
      <c r="F24" s="11"/>
      <c r="H24" s="10" t="str">
        <f>IF(H18="","",H18*rate_fun)</f>
        <v/>
      </c>
      <c r="I24" s="13">
        <f>SUM(I22:I23)</f>
        <v>0</v>
      </c>
      <c r="J24" s="11"/>
      <c r="L24" s="10" t="str">
        <f>IF(L18="","",L18*rate_fun)</f>
        <v/>
      </c>
      <c r="M24" s="13">
        <f>SUM(M22:M23)</f>
        <v>0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 t="str">
        <f>IF(D24="","",SUM(D24,H24,L24,P24,T24,X24,AB24,AF24,AJ24,AN24,AR24,AV24))</f>
        <v/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 t="str">
        <f>IF(AND(D8="",D18=""),"",D8+D18)</f>
        <v/>
      </c>
      <c r="E28" s="16"/>
      <c r="F28" s="16"/>
      <c r="G28" s="1"/>
      <c r="H28" s="16" t="str">
        <f>IF(AND(H8="",H18=""),"",H8+H18)</f>
        <v/>
      </c>
      <c r="I28" s="16"/>
      <c r="J28" s="16"/>
      <c r="K28" s="1"/>
      <c r="L28" s="16" t="str">
        <f>IF(AND(L8="",L18=""),"",L8+L18)</f>
        <v/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 t="str">
        <f>IF(D28="","",SUM(D28:AX28))</f>
        <v/>
      </c>
    </row>
    <row r="29" spans="2:55" x14ac:dyDescent="0.25">
      <c r="B29" t="s">
        <v>37</v>
      </c>
      <c r="D29" s="16" t="str">
        <f>IF(AND(D9="",D19=""),"",D9+D19)</f>
        <v/>
      </c>
      <c r="E29" s="16"/>
      <c r="F29" s="16"/>
      <c r="G29" s="1"/>
      <c r="H29" s="16" t="str">
        <f>IF(AND(H9="",H19=""),"",H9+H19)</f>
        <v/>
      </c>
      <c r="I29" s="16"/>
      <c r="J29" s="16"/>
      <c r="K29" s="1"/>
      <c r="L29" s="16" t="str">
        <f>IF(AND(L9="",L19=""),"",L9+L19)</f>
        <v/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 t="str">
        <f>IF(D29="","",SUM(D29:AX29))</f>
        <v/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 t="str">
        <f>IFERROR(D12+D22,"")</f>
        <v/>
      </c>
      <c r="E32" s="10" t="str">
        <f>IF(OR(E$12="",E$13="",E$22="",E$23=""),"",E12+E22)</f>
        <v/>
      </c>
      <c r="F32" s="10" t="str">
        <f>IFERROR(IF(E32="","",E32-D32),"")</f>
        <v/>
      </c>
      <c r="H32" s="10" t="str">
        <f>IFERROR(H12+H22,"")</f>
        <v/>
      </c>
      <c r="I32" s="10" t="str">
        <f>IF(OR(I$12="",I$13="",I$22="",I$23=""),"",I12+I22)</f>
        <v/>
      </c>
      <c r="J32" s="10" t="str">
        <f>IFERROR(IF(I32="","",I32-H32),"")</f>
        <v/>
      </c>
      <c r="L32" s="10" t="str">
        <f>IFERROR(L12+L22,"")</f>
        <v/>
      </c>
      <c r="M32" s="10" t="str">
        <f>IF(OR(M$12="",M$13="",M$22="",M$23=""),"",M12+M22)</f>
        <v/>
      </c>
      <c r="N32" s="10" t="str">
        <f>IFERROR(IF(M32="","",M32-L32),"")</f>
        <v/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 t="str">
        <f>IFERROR(BA12+BA22,"")</f>
        <v/>
      </c>
      <c r="BB32" s="10" t="str">
        <f>IF(OR($E$12="",$E$13="",$E$22="",$E$23=""),"",BB12+BB22)</f>
        <v/>
      </c>
      <c r="BC32" s="10" t="str">
        <f>IFERROR(IF(BB32="","",BB32-BA32),"")</f>
        <v/>
      </c>
    </row>
    <row r="33" spans="2:55" x14ac:dyDescent="0.25">
      <c r="B33" t="s">
        <v>1</v>
      </c>
      <c r="D33" s="10" t="str">
        <f>IFERROR(D13+D23,"")</f>
        <v/>
      </c>
      <c r="E33" s="10" t="str">
        <f>IF(OR(E$12="",E$13="",E$22="",E$23=""),"",E13+E23)</f>
        <v/>
      </c>
      <c r="F33" s="10" t="str">
        <f>IFERROR(IF(E33="","",E33-D33),"")</f>
        <v/>
      </c>
      <c r="H33" s="10" t="str">
        <f>IFERROR(H13+H23,"")</f>
        <v/>
      </c>
      <c r="I33" s="10" t="str">
        <f>IF(OR(I$12="",I$13="",I$22="",I$23=""),"",I13+I23)</f>
        <v/>
      </c>
      <c r="J33" s="10" t="str">
        <f>IFERROR(IF(I33="","",I33-H33),"")</f>
        <v/>
      </c>
      <c r="L33" s="10" t="str">
        <f>IFERROR(L13+L23,"")</f>
        <v/>
      </c>
      <c r="M33" s="10" t="str">
        <f>IF(OR(M$12="",M$13="",M$22="",M$23=""),"",M13+M23)</f>
        <v/>
      </c>
      <c r="N33" s="10" t="str">
        <f>IFERROR(IF(M33="","",M33-L33),"")</f>
        <v/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 t="str">
        <f>IFERROR(BA13+BA23,"")</f>
        <v/>
      </c>
      <c r="BB33" s="10" t="str">
        <f>IF(OR($E$12="",$E$13="",$E$22="",$E$23=""),"",BB13+BB23)</f>
        <v/>
      </c>
      <c r="BC33" s="10" t="str">
        <f>IFERROR(IF(BB33="","",BB33-BA33),"")</f>
        <v/>
      </c>
    </row>
    <row r="34" spans="2:55" x14ac:dyDescent="0.25">
      <c r="B34" t="s">
        <v>2</v>
      </c>
      <c r="D34" s="10" t="str">
        <f>IFERROR(D14+D24,"")</f>
        <v/>
      </c>
      <c r="E34" s="11"/>
      <c r="F34" s="11"/>
      <c r="H34" s="10" t="str">
        <f>IFERROR(H14+H24,"")</f>
        <v/>
      </c>
      <c r="I34" s="11"/>
      <c r="J34" s="11"/>
      <c r="L34" s="10" t="str">
        <f>IFERROR(L14+L24,"")</f>
        <v/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 t="str">
        <f>IFERROR(BA14+BA24,"")</f>
        <v/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 t="str">
        <f>IF(OR(D9="",D10="",D9=0,D10=0),"",SUM(D9:D10))</f>
        <v/>
      </c>
      <c r="E8" s="6" t="str">
        <f>IF(OR(E9="",E10="",E9=0,E10=0),"",SUM(E9:E10))</f>
        <v/>
      </c>
      <c r="F8" s="6" t="str">
        <f t="shared" ref="F8:O8" si="0">IF(OR(F9="",F10="",F9=0,F10=0),"",SUM(F9:F10))</f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 t="str">
        <f>IF(D8="","",SUM(Q9:Q10))</f>
        <v/>
      </c>
    </row>
    <row r="9" spans="2:17" s="26" customFormat="1" ht="11.25" x14ac:dyDescent="0.2">
      <c r="B9" s="26" t="s">
        <v>56</v>
      </c>
      <c r="D9" s="26" t="str">
        <f>budżet!E32</f>
        <v/>
      </c>
      <c r="E9" s="26" t="str">
        <f>IF(budżet!I32=0,"",budżet!I32)</f>
        <v/>
      </c>
      <c r="F9" s="26" t="str">
        <f>IF(budżet!M32=0,"",budżet!M32)</f>
        <v/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 t="str">
        <f>IF(D9="","",SUM(D9:P9))</f>
        <v/>
      </c>
    </row>
    <row r="10" spans="2:17" x14ac:dyDescent="0.25">
      <c r="B10" s="26" t="s">
        <v>57</v>
      </c>
      <c r="C10" s="26"/>
      <c r="D10" s="26" t="str">
        <f>budżet!E33</f>
        <v/>
      </c>
      <c r="E10" s="26" t="str">
        <f>IF(budżet!I33=0,"",budżet!I33)</f>
        <v/>
      </c>
      <c r="F10" s="26" t="str">
        <f>IF(budżet!M33=0,"",budżet!M33)</f>
        <v/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 t="str">
        <f>IF(D10="","",SUM(D10:P10))</f>
        <v/>
      </c>
    </row>
    <row r="11" spans="2:17" s="16" customFormat="1" x14ac:dyDescent="0.25">
      <c r="B11" s="6" t="s">
        <v>48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0</v>
      </c>
    </row>
    <row r="12" spans="2:17" x14ac:dyDescent="0.25">
      <c r="B12" s="38" t="s">
        <v>38</v>
      </c>
      <c r="C12" s="38"/>
      <c r="D12" s="38" t="str">
        <f>IFERROR(D8+D11,"")</f>
        <v/>
      </c>
      <c r="E12" s="38" t="str">
        <f t="shared" ref="E12:O12" si="1">IFERROR(E8+E11,"")</f>
        <v/>
      </c>
      <c r="F12" s="38" t="str">
        <f t="shared" si="1"/>
        <v/>
      </c>
      <c r="G12" s="38" t="str">
        <f t="shared" si="1"/>
        <v/>
      </c>
      <c r="H12" s="38" t="str">
        <f t="shared" si="1"/>
        <v/>
      </c>
      <c r="I12" s="38" t="str">
        <f t="shared" si="1"/>
        <v/>
      </c>
      <c r="J12" s="38" t="str">
        <f t="shared" si="1"/>
        <v/>
      </c>
      <c r="K12" s="38" t="str">
        <f t="shared" si="1"/>
        <v/>
      </c>
      <c r="L12" s="38" t="str">
        <f t="shared" si="1"/>
        <v/>
      </c>
      <c r="M12" s="38" t="str">
        <f t="shared" si="1"/>
        <v/>
      </c>
      <c r="N12" s="38" t="str">
        <f t="shared" si="1"/>
        <v/>
      </c>
      <c r="O12" s="38" t="str">
        <f t="shared" si="1"/>
        <v/>
      </c>
      <c r="P12" s="16"/>
      <c r="Q12" s="38" t="str">
        <f>IFERROR(Q8+Q11,"")</f>
        <v/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Q16" s="6">
        <f>SUM(D16:O16)</f>
        <v>0</v>
      </c>
    </row>
    <row r="17" spans="2:17" x14ac:dyDescent="0.25">
      <c r="B17" s="6" t="s">
        <v>51</v>
      </c>
      <c r="Q17" s="6">
        <f t="shared" ref="Q17:Q20" si="2">SUM(D17:O17)</f>
        <v>0</v>
      </c>
    </row>
    <row r="18" spans="2:17" x14ac:dyDescent="0.25">
      <c r="B18" s="6" t="s">
        <v>52</v>
      </c>
      <c r="Q18" s="6">
        <f t="shared" si="2"/>
        <v>0</v>
      </c>
    </row>
    <row r="19" spans="2:17" x14ac:dyDescent="0.25">
      <c r="B19" s="6" t="s">
        <v>84</v>
      </c>
      <c r="Q19" s="6">
        <f t="shared" si="2"/>
        <v>0</v>
      </c>
    </row>
    <row r="20" spans="2:17" s="16" customFormat="1" x14ac:dyDescent="0.25">
      <c r="B20" s="6" t="s">
        <v>70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>
        <f t="shared" si="2"/>
        <v>0</v>
      </c>
    </row>
    <row r="21" spans="2:17" x14ac:dyDescent="0.25">
      <c r="B21" s="38" t="s">
        <v>38</v>
      </c>
      <c r="C21" s="38"/>
      <c r="D21" s="38" t="str">
        <f>IF(AND(D16="",D17="",D18="",D19="",D20=""),"",SUM(D16:D20))</f>
        <v/>
      </c>
      <c r="E21" s="38" t="str">
        <f t="shared" ref="E21:O21" si="3">IF(AND(E16="",E17="",E18="",E19="",E20=""),"",SUM(E16:E20))</f>
        <v/>
      </c>
      <c r="F21" s="38" t="str">
        <f t="shared" si="3"/>
        <v/>
      </c>
      <c r="G21" s="38" t="str">
        <f t="shared" si="3"/>
        <v/>
      </c>
      <c r="H21" s="38" t="str">
        <f t="shared" si="3"/>
        <v/>
      </c>
      <c r="I21" s="38" t="str">
        <f t="shared" si="3"/>
        <v/>
      </c>
      <c r="J21" s="38" t="str">
        <f t="shared" si="3"/>
        <v/>
      </c>
      <c r="K21" s="38" t="str">
        <f t="shared" si="3"/>
        <v/>
      </c>
      <c r="L21" s="38" t="str">
        <f t="shared" si="3"/>
        <v/>
      </c>
      <c r="M21" s="38" t="str">
        <f t="shared" si="3"/>
        <v/>
      </c>
      <c r="N21" s="38" t="str">
        <f t="shared" si="3"/>
        <v/>
      </c>
      <c r="O21" s="38" t="str">
        <f t="shared" si="3"/>
        <v/>
      </c>
      <c r="P21" s="16"/>
      <c r="Q21" s="38">
        <f t="shared" ref="Q21" si="4">SUM(Q16:Q20)</f>
        <v>0</v>
      </c>
    </row>
    <row r="23" spans="2:17" x14ac:dyDescent="0.25">
      <c r="B23" s="6" t="s">
        <v>53</v>
      </c>
      <c r="Q23" s="6">
        <f>SUM(D23:O23)</f>
        <v>0</v>
      </c>
    </row>
    <row r="24" spans="2:17" x14ac:dyDescent="0.25">
      <c r="B24" s="6" t="s">
        <v>90</v>
      </c>
      <c r="Q24" s="6">
        <f>SUM(D24:O24)</f>
        <v>0</v>
      </c>
    </row>
    <row r="25" spans="2:17" x14ac:dyDescent="0.25">
      <c r="B25" s="38" t="s">
        <v>38</v>
      </c>
      <c r="C25" s="38"/>
      <c r="D25" s="38" t="str">
        <f>IF(AND(D23="",D24=""),"",SUM(D23:D24))</f>
        <v/>
      </c>
      <c r="E25" s="38" t="str">
        <f t="shared" ref="E25:O25" si="5">IF(AND(E23="",E24=""),"",SUM(E23:E24))</f>
        <v/>
      </c>
      <c r="F25" s="38" t="str">
        <f t="shared" si="5"/>
        <v/>
      </c>
      <c r="G25" s="38" t="str">
        <f t="shared" si="5"/>
        <v/>
      </c>
      <c r="H25" s="38" t="str">
        <f t="shared" si="5"/>
        <v/>
      </c>
      <c r="I25" s="38" t="str">
        <f t="shared" si="5"/>
        <v/>
      </c>
      <c r="J25" s="38" t="str">
        <f t="shared" si="5"/>
        <v/>
      </c>
      <c r="K25" s="38" t="str">
        <f t="shared" si="5"/>
        <v/>
      </c>
      <c r="L25" s="38" t="str">
        <f t="shared" si="5"/>
        <v/>
      </c>
      <c r="M25" s="38" t="str">
        <f t="shared" si="5"/>
        <v/>
      </c>
      <c r="N25" s="38" t="str">
        <f t="shared" si="5"/>
        <v/>
      </c>
      <c r="O25" s="38" t="str">
        <f t="shared" si="5"/>
        <v/>
      </c>
      <c r="Q25" s="38">
        <f t="shared" ref="Q25" si="6">SUM(Q23:Q24)</f>
        <v>0</v>
      </c>
    </row>
    <row r="27" spans="2:17" x14ac:dyDescent="0.25">
      <c r="B27" s="6" t="s">
        <v>54</v>
      </c>
      <c r="Q27" s="6">
        <f>SUM(D27:O27)</f>
        <v>0</v>
      </c>
    </row>
    <row r="28" spans="2:17" x14ac:dyDescent="0.25">
      <c r="B28" s="6" t="s">
        <v>55</v>
      </c>
      <c r="Q28" s="6">
        <f>SUM(D28:O28)</f>
        <v>0</v>
      </c>
    </row>
    <row r="29" spans="2:17" x14ac:dyDescent="0.25">
      <c r="B29" s="38" t="s">
        <v>38</v>
      </c>
      <c r="C29" s="38"/>
      <c r="D29" s="38" t="str">
        <f>IF(AND(D27="",D28=""),"",SUM(D27:D28))</f>
        <v/>
      </c>
      <c r="E29" s="38" t="str">
        <f t="shared" ref="E29:O29" si="7">IF(AND(E27="",E28=""),"",SUM(E27:E28))</f>
        <v/>
      </c>
      <c r="F29" s="38" t="str">
        <f t="shared" si="7"/>
        <v/>
      </c>
      <c r="G29" s="38" t="str">
        <f t="shared" si="7"/>
        <v/>
      </c>
      <c r="H29" s="38" t="str">
        <f t="shared" si="7"/>
        <v/>
      </c>
      <c r="I29" s="38" t="str">
        <f t="shared" si="7"/>
        <v/>
      </c>
      <c r="J29" s="38" t="str">
        <f t="shared" si="7"/>
        <v/>
      </c>
      <c r="K29" s="38" t="str">
        <f t="shared" si="7"/>
        <v/>
      </c>
      <c r="L29" s="38" t="str">
        <f t="shared" si="7"/>
        <v/>
      </c>
      <c r="M29" s="38" t="str">
        <f t="shared" si="7"/>
        <v/>
      </c>
      <c r="N29" s="38" t="str">
        <f t="shared" si="7"/>
        <v/>
      </c>
      <c r="O29" s="38" t="str">
        <f t="shared" si="7"/>
        <v/>
      </c>
      <c r="Q29" s="38">
        <f t="shared" ref="Q29" si="8">SUM(Q27:Q28)</f>
        <v>0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 t="str">
        <f>IFERROR(D21+D25+D29,"")</f>
        <v/>
      </c>
      <c r="E31" s="38" t="str">
        <f t="shared" ref="E31:O31" si="9">IFERROR(E21+E25+E29,"")</f>
        <v/>
      </c>
      <c r="F31" s="38" t="str">
        <f t="shared" si="9"/>
        <v/>
      </c>
      <c r="G31" s="38" t="str">
        <f t="shared" si="9"/>
        <v/>
      </c>
      <c r="H31" s="38" t="str">
        <f t="shared" si="9"/>
        <v/>
      </c>
      <c r="I31" s="38" t="str">
        <f t="shared" si="9"/>
        <v/>
      </c>
      <c r="J31" s="38" t="str">
        <f t="shared" si="9"/>
        <v/>
      </c>
      <c r="K31" s="38" t="str">
        <f t="shared" si="9"/>
        <v/>
      </c>
      <c r="L31" s="38" t="str">
        <f t="shared" si="9"/>
        <v/>
      </c>
      <c r="M31" s="38" t="str">
        <f t="shared" si="9"/>
        <v/>
      </c>
      <c r="N31" s="38" t="str">
        <f t="shared" si="9"/>
        <v/>
      </c>
      <c r="O31" s="38" t="str">
        <f t="shared" si="9"/>
        <v/>
      </c>
      <c r="Q31" s="38">
        <f t="shared" ref="Q31" si="10">Q21+Q25+Q29</f>
        <v>0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 t="str">
        <f>IFERROR(D12-D31,"")</f>
        <v/>
      </c>
      <c r="E33" s="16" t="str">
        <f t="shared" ref="E33:Q33" si="11">IFERROR(E12-E31,"")</f>
        <v/>
      </c>
      <c r="F33" s="16" t="str">
        <f t="shared" si="11"/>
        <v/>
      </c>
      <c r="G33" s="16" t="str">
        <f t="shared" si="11"/>
        <v/>
      </c>
      <c r="H33" s="16" t="str">
        <f t="shared" si="11"/>
        <v/>
      </c>
      <c r="I33" s="16" t="str">
        <f t="shared" si="11"/>
        <v/>
      </c>
      <c r="J33" s="16" t="str">
        <f t="shared" si="11"/>
        <v/>
      </c>
      <c r="K33" s="16" t="str">
        <f t="shared" si="11"/>
        <v/>
      </c>
      <c r="L33" s="16" t="str">
        <f t="shared" si="11"/>
        <v/>
      </c>
      <c r="M33" s="16" t="str">
        <f t="shared" si="11"/>
        <v/>
      </c>
      <c r="N33" s="16" t="str">
        <f t="shared" si="11"/>
        <v/>
      </c>
      <c r="O33" s="16" t="str">
        <f t="shared" si="11"/>
        <v/>
      </c>
      <c r="Q33" s="16" t="str">
        <f t="shared" si="11"/>
        <v/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</row>
    <row r="9" spans="2:15" x14ac:dyDescent="0.25">
      <c r="B9" s="6" t="s">
        <v>1</v>
      </c>
    </row>
    <row r="10" spans="2:15" x14ac:dyDescent="0.25">
      <c r="B10" s="6" t="s">
        <v>63</v>
      </c>
    </row>
    <row r="12" spans="2:15" s="16" customFormat="1" x14ac:dyDescent="0.25">
      <c r="B12" s="30" t="s">
        <v>38</v>
      </c>
      <c r="C12" s="30"/>
      <c r="D12" s="30">
        <f>SUM(D8:D10)</f>
        <v>0</v>
      </c>
      <c r="E12" s="30">
        <f t="shared" ref="E12:O12" si="0">SUM(E8:E10)</f>
        <v>0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30" t="str">
        <f>IF(AND(D15=0,D17=0,D18=0),"",SUM(D15:D18))</f>
        <v/>
      </c>
      <c r="E14" s="30" t="str">
        <f t="shared" ref="E14:O14" si="1">IF(AND(E15=0,E17=0,E18=0),"",SUM(E15:E18))</f>
        <v/>
      </c>
      <c r="F14" s="30" t="str">
        <f t="shared" si="1"/>
        <v/>
      </c>
      <c r="G14" s="30" t="str">
        <f t="shared" si="1"/>
        <v/>
      </c>
      <c r="H14" s="30" t="str">
        <f t="shared" si="1"/>
        <v/>
      </c>
      <c r="I14" s="30" t="str">
        <f t="shared" si="1"/>
        <v/>
      </c>
      <c r="J14" s="30" t="str">
        <f t="shared" si="1"/>
        <v/>
      </c>
      <c r="K14" s="30" t="str">
        <f t="shared" si="1"/>
        <v/>
      </c>
      <c r="L14" s="30" t="str">
        <f t="shared" si="1"/>
        <v/>
      </c>
      <c r="M14" s="30" t="str">
        <f t="shared" si="1"/>
        <v/>
      </c>
      <c r="N14" s="30" t="str">
        <f t="shared" si="1"/>
        <v/>
      </c>
      <c r="O14" s="30" t="str">
        <f t="shared" si="1"/>
        <v/>
      </c>
    </row>
    <row r="15" spans="2:15" s="36" customFormat="1" ht="11.25" customHeight="1" x14ac:dyDescent="0.2">
      <c r="B15" s="35" t="s">
        <v>91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91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91</v>
      </c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91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 t="str">
        <f>IF(AND(D21=0,D23=0,D24=0,D25=0),"",SUM(D21:D25))</f>
        <v/>
      </c>
      <c r="E20" s="30" t="str">
        <f t="shared" ref="E20:O20" si="2">IF(AND(E21=0,E23=0,E24=0,E25=0),"",SUM(E21:E25))</f>
        <v/>
      </c>
      <c r="F20" s="30" t="str">
        <f t="shared" si="2"/>
        <v/>
      </c>
      <c r="G20" s="30" t="str">
        <f t="shared" si="2"/>
        <v/>
      </c>
      <c r="H20" s="30" t="str">
        <f t="shared" si="2"/>
        <v/>
      </c>
      <c r="I20" s="30" t="str">
        <f t="shared" si="2"/>
        <v/>
      </c>
      <c r="J20" s="30" t="str">
        <f t="shared" si="2"/>
        <v/>
      </c>
      <c r="K20" s="30" t="str">
        <f t="shared" si="2"/>
        <v/>
      </c>
      <c r="L20" s="30" t="str">
        <f t="shared" si="2"/>
        <v/>
      </c>
      <c r="M20" s="30" t="str">
        <f t="shared" si="2"/>
        <v/>
      </c>
      <c r="N20" s="30" t="str">
        <f t="shared" si="2"/>
        <v/>
      </c>
      <c r="O20" s="30" t="str">
        <f t="shared" si="2"/>
        <v/>
      </c>
    </row>
    <row r="21" spans="2:15" s="16" customFormat="1" ht="11.25" customHeight="1" x14ac:dyDescent="0.25">
      <c r="B21" s="35" t="s">
        <v>91</v>
      </c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91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91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91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91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 t="str">
        <f>IFERROR(D14+D20,"")</f>
        <v/>
      </c>
      <c r="E27" s="30" t="str">
        <f t="shared" ref="E27:O27" si="3">IFERROR(E14+E20,"")</f>
        <v/>
      </c>
      <c r="F27" s="30" t="str">
        <f t="shared" si="3"/>
        <v/>
      </c>
      <c r="G27" s="30" t="str">
        <f t="shared" si="3"/>
        <v/>
      </c>
      <c r="H27" s="30" t="str">
        <f t="shared" si="3"/>
        <v/>
      </c>
      <c r="I27" s="30" t="str">
        <f t="shared" si="3"/>
        <v/>
      </c>
      <c r="J27" s="30" t="str">
        <f t="shared" si="3"/>
        <v/>
      </c>
      <c r="K27" s="30" t="str">
        <f t="shared" si="3"/>
        <v/>
      </c>
      <c r="L27" s="30" t="str">
        <f t="shared" si="3"/>
        <v/>
      </c>
      <c r="M27" s="30" t="str">
        <f t="shared" si="3"/>
        <v/>
      </c>
      <c r="N27" s="30" t="str">
        <f t="shared" si="3"/>
        <v/>
      </c>
      <c r="O27" s="30" t="str">
        <f t="shared" si="3"/>
        <v/>
      </c>
    </row>
    <row r="29" spans="2:15" x14ac:dyDescent="0.25">
      <c r="B29" s="38" t="s">
        <v>67</v>
      </c>
      <c r="C29" s="39"/>
      <c r="D29" s="30" t="str">
        <f>IFERROR(IF(D12+D27=0,"",D12+D27),"")</f>
        <v/>
      </c>
      <c r="E29" s="30" t="str">
        <f t="shared" ref="E29:O29" si="4">IFERROR(IF(E12+E27=0,"",E12+E27),"")</f>
        <v/>
      </c>
      <c r="F29" s="30" t="str">
        <f t="shared" si="4"/>
        <v/>
      </c>
      <c r="G29" s="30" t="str">
        <f t="shared" si="4"/>
        <v/>
      </c>
      <c r="H29" s="30" t="str">
        <f t="shared" si="4"/>
        <v/>
      </c>
      <c r="I29" s="30" t="str">
        <f t="shared" si="4"/>
        <v/>
      </c>
      <c r="J29" s="30" t="str">
        <f t="shared" si="4"/>
        <v/>
      </c>
      <c r="K29" s="30" t="str">
        <f t="shared" si="4"/>
        <v/>
      </c>
      <c r="L29" s="30" t="str">
        <f t="shared" si="4"/>
        <v/>
      </c>
      <c r="M29" s="30" t="str">
        <f t="shared" si="4"/>
        <v/>
      </c>
      <c r="N29" s="30" t="str">
        <f t="shared" si="4"/>
        <v/>
      </c>
      <c r="O29" s="30" t="str">
        <f t="shared" si="4"/>
        <v/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 t="str">
        <f>IFERROR(D29-D33,"")</f>
        <v/>
      </c>
      <c r="E35" s="6" t="str">
        <f t="shared" ref="E35:O35" si="5">IFERROR(E29-E33,"")</f>
        <v/>
      </c>
      <c r="F35" s="6" t="str">
        <f t="shared" si="5"/>
        <v/>
      </c>
      <c r="G35" s="6" t="str">
        <f t="shared" si="5"/>
        <v/>
      </c>
      <c r="H35" s="6" t="str">
        <f t="shared" si="5"/>
        <v/>
      </c>
      <c r="I35" s="6" t="str">
        <f t="shared" si="5"/>
        <v/>
      </c>
      <c r="J35" s="6" t="str">
        <f t="shared" si="5"/>
        <v/>
      </c>
      <c r="K35" s="6" t="str">
        <f t="shared" si="5"/>
        <v/>
      </c>
      <c r="L35" s="6" t="str">
        <f t="shared" si="5"/>
        <v/>
      </c>
      <c r="M35" s="6" t="str">
        <f t="shared" si="5"/>
        <v/>
      </c>
      <c r="N35" s="6" t="str">
        <f t="shared" si="5"/>
        <v/>
      </c>
      <c r="O35" s="6" t="str">
        <f t="shared" si="5"/>
        <v/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2023-07-20T16:12:43Z</dcterms:modified>
</cp:coreProperties>
</file>