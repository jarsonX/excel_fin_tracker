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96" documentId="8_{A4B5B942-374F-4909-A42C-457EEFDD62EC}" xr6:coauthVersionLast="47" xr6:coauthVersionMax="47" xr10:uidLastSave="{46535347-D022-48AA-80AB-8105F12CABE3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1" l="1"/>
  <c r="K29" i="11"/>
  <c r="N29" i="11"/>
  <c r="D28" i="11"/>
  <c r="H28" i="11"/>
  <c r="J14" i="10"/>
  <c r="I29" i="11" s="1"/>
  <c r="E20" i="10"/>
  <c r="F20" i="10"/>
  <c r="E28" i="11" s="1"/>
  <c r="G20" i="10"/>
  <c r="F28" i="11" s="1"/>
  <c r="H20" i="10"/>
  <c r="G28" i="11" s="1"/>
  <c r="I20" i="10"/>
  <c r="J20" i="10"/>
  <c r="I28" i="11" s="1"/>
  <c r="K20" i="10"/>
  <c r="J28" i="11" s="1"/>
  <c r="L20" i="10"/>
  <c r="K28" i="11" s="1"/>
  <c r="M20" i="10"/>
  <c r="L28" i="11" s="1"/>
  <c r="N20" i="10"/>
  <c r="M28" i="11" s="1"/>
  <c r="O20" i="10"/>
  <c r="N28" i="11" s="1"/>
  <c r="D20" i="10"/>
  <c r="C28" i="11" s="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K14" i="10"/>
  <c r="L14" i="10"/>
  <c r="M14" i="10"/>
  <c r="L29" i="11" s="1"/>
  <c r="N14" i="10"/>
  <c r="M29" i="11" s="1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R33" i="5"/>
  <c r="AT33" i="5" s="1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L33" i="5" s="1"/>
  <c r="AR32" i="5"/>
  <c r="AT32" i="5" s="1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AD32" i="5"/>
  <c r="J9" i="7"/>
  <c r="L10" i="7"/>
  <c r="H9" i="7"/>
  <c r="I10" i="7"/>
  <c r="K9" i="7"/>
  <c r="O9" i="7"/>
  <c r="M10" i="7"/>
  <c r="AP32" i="5"/>
  <c r="M9" i="7"/>
  <c r="AX33" i="5"/>
  <c r="O10" i="7"/>
  <c r="I9" i="7"/>
  <c r="N9" i="7"/>
  <c r="G9" i="7"/>
  <c r="H10" i="7"/>
  <c r="AL32" i="5"/>
  <c r="L9" i="7"/>
  <c r="J10" i="7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<sst xmlns="http://schemas.openxmlformats.org/spreadsheetml/2006/main" count="251" uniqueCount="93">
  <si>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</si>
  <si>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</si>
  <si>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</si>
  <si>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</si>
  <si>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</si>
  <si>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</si>
  <si>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</si>
  <si>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</si>
  <si>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</si>
  <si>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</si>
  <si>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</si>
  <si>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</si>
  <si>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</si>
  <si>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</si>
  <si>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</si>
  <si>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</si>
  <si>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</si>
  <si>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</si>
  <si>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</si>
  <si>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</si>
  <si>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</si>
  <si>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</si>
  <si>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</si>
  <si>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</si>
  <si>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</si>
  <si>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</si>
  <si>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</si>
  <si>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</si>
  <si>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</si>
  <si>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</si>
  <si>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</si>
  <si>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</si>
  <si>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</si>
  <si>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</si>
  <si>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</si>
  <si>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</si>
  <si>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</si>
  <si>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</si>
  <si>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</si>
  <si>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</si>
  <si>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</si>
  <si>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</si>
  <si>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</si>
  <si>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</si>
  <si>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</si>
  <si>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</si>
  <si>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</si>
  <si>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</si>
  <si>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</si>
  <si>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</si>
  <si>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</si>
  <si>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</si>
  <si>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</si>
  <si>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</si>
  <si>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</si>
  <si>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</si>
  <si>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</si>
  <si>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</si>
  <si>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</si>
  <si>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</si>
  <si>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</si>
  <si>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</si>
  <si>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</si>
  <si>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</si>
  <si>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</si>
  <si>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</si>
  <si>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</si>
  <si>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</si>
  <si>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</si>
  <si>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</si>
  <si>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</si>
  <si>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</si>
  <si>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</si>
  <si>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</si>
  <si>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</si>
  <si>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</si>
  <si>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</si>
  <si>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</si>
  <si>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</si>
  <si>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</si>
  <si>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</si>
  <si>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</si>
  <si>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</si>
  <si>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</si>
  <si>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</si>
  <si>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</si>
  <si>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</si>
  <si>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</si>
  <si>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</si>
  <si>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</si>
  <si>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</si>
  <si>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</si>
  <si>
    <t>Rozkład kosztów w ciągu 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</si>
</sst>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19050</xdr:colOff>
      <xdr:row>26</xdr:row>
      <xdr:rowOff>104775</xdr:rowOff>
    </xdr:from>
    <xdr:to>
      <xdr:col>2</xdr:col>
      <xdr:colOff>609600</xdr:colOff>
      <xdr:row>28</xdr:row>
      <xdr:rowOff>105375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266700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2</xdr:col>
      <xdr:colOff>704850</xdr:colOff>
      <xdr:row>26</xdr:row>
      <xdr:rowOff>104775</xdr:rowOff>
    </xdr:from>
    <xdr:to>
      <xdr:col>4</xdr:col>
      <xdr:colOff>161925</xdr:colOff>
      <xdr:row>28</xdr:row>
      <xdr:rowOff>105375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266825" y="5248275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45124.940390277778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/>
      </c>
      <c r="D1" s="50" t="str">
        <f>IF(D5="","",tech!$E23)</f>
        <v/>
      </c>
      <c r="E1" s="50" t="str">
        <f>IF(E5="","",tech!$E24)</f>
        <v/>
      </c>
      <c r="F1" s="50" t="str">
        <f>IF(F5="","",tech!$E25)</f>
        <v/>
      </c>
      <c r="G1" s="50" t="str">
        <f>IF(G5="","",tech!$E26)</f>
        <v/>
      </c>
      <c r="H1" s="50" t="str">
        <f>IF(H5="","",tech!$E27)</f>
        <v/>
      </c>
      <c r="I1" s="50" t="str">
        <f>IF(I5="","",tech!$E28)</f>
        <v/>
      </c>
      <c r="J1" s="50" t="str">
        <f>IF(J5="","",tech!$E29)</f>
        <v/>
      </c>
      <c r="K1" s="50" t="str">
        <f>IF(K5="","",tech!$E30)</f>
        <v/>
      </c>
      <c r="L1" s="50" t="str">
        <f>IF(L5="","",tech!$E31)</f>
        <v/>
      </c>
      <c r="M1" s="50" t="str">
        <f>IF(M5="","",tech!$E32)</f>
        <v/>
      </c>
      <c r="N1" s="50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16" t="str">
        <f t="shared" si="0"/>
        <v/>
      </c>
      <c r="L2" s="16" t="str">
        <f t="shared" si="0"/>
        <v/>
      </c>
      <c r="M2" s="16" t="str">
        <f t="shared" si="0"/>
        <v/>
      </c>
      <c r="N2" s="1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16" t="str">
        <f t="shared" si="3"/>
        <v/>
      </c>
      <c r="L8" s="16" t="str">
        <f t="shared" si="3"/>
        <v/>
      </c>
      <c r="M8" s="16" t="str">
        <f t="shared" si="3"/>
        <v/>
      </c>
      <c r="N8" s="1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16" t="str">
        <f t="shared" si="6"/>
        <v/>
      </c>
      <c r="L19" s="16" t="str">
        <f t="shared" si="6"/>
        <v/>
      </c>
      <c r="M19" s="16" t="str">
        <f t="shared" si="6"/>
        <v/>
      </c>
      <c r="N19" s="1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16" t="str">
        <f t="shared" si="9"/>
        <v/>
      </c>
      <c r="L25" s="16" t="str">
        <f t="shared" si="9"/>
        <v/>
      </c>
      <c r="M25" s="16" t="str">
        <f t="shared" si="9"/>
        <v/>
      </c>
      <c r="N25" s="1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O27" s="6" t="str">
        <f>IF(BS!P9="","",BS!P9)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 t="str">
        <f>IF(BS!D20="","",BS!D20)</f>
        <v/>
      </c>
      <c r="D28" s="6" t="str">
        <f>IF(BS!E20="","",BS!E20)</f>
        <v/>
      </c>
      <c r="E28" s="6" t="str">
        <f>IF(BS!F20="","",BS!F20)</f>
        <v/>
      </c>
      <c r="F28" s="6" t="str">
        <f>IF(BS!G20="","",BS!G20)</f>
        <v/>
      </c>
      <c r="G28" s="6" t="str">
        <f>IF(BS!H20="","",BS!H20)</f>
        <v/>
      </c>
      <c r="H28" s="6" t="str">
        <f>IF(BS!I20="","",BS!I20)</f>
        <v/>
      </c>
      <c r="I28" s="6" t="str">
        <f>IF(BS!J20="","",BS!J20)</f>
        <v/>
      </c>
      <c r="J28" s="6" t="str">
        <f>IF(BS!K20="","",BS!K20)</f>
        <v/>
      </c>
      <c r="K28" s="6" t="str">
        <f>IF(BS!L20="","",BS!L20)</f>
        <v/>
      </c>
      <c r="L28" s="6" t="str">
        <f>IF(BS!M20="","",BS!M20)</f>
        <v/>
      </c>
      <c r="M28" s="6" t="str">
        <f>IF(BS!N20="","",BS!N20)</f>
        <v/>
      </c>
      <c r="N28" s="6" t="str">
        <f>IF(BS!O20="","",BS!O20)</f>
        <v/>
      </c>
      <c r="P28" s="6" t="str">
        <f t="shared" si="10"/>
        <v>Fundusze</v>
      </c>
      <c r="Q28" s="6" t="e" cm="1">
        <f t="array" ref="Q28">LOOKUP(2,1/(C28:N28&lt;&gt;""),C28:N28)</f>
        <v>#N/A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 t="s">
        <v>92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 t="str">
        <f>IF(AND(D21=0,D23=0,D24=0,D25=0),"",SUM(D21:D25))</f>
        <v/>
      </c>
      <c r="E20" s="30" t="str">
        <f t="shared" ref="E20:O20" si="2">IF(AND(E21=0,E23=0,E24=0,E25=0),"",SUM(E21:E25))</f>
        <v/>
      </c>
      <c r="F20" s="30" t="str">
        <f t="shared" si="2"/>
        <v/>
      </c>
      <c r="G20" s="30" t="str">
        <f t="shared" si="2"/>
        <v/>
      </c>
      <c r="H20" s="30" t="str">
        <f t="shared" si="2"/>
        <v/>
      </c>
      <c r="I20" s="30" t="str">
        <f t="shared" si="2"/>
        <v/>
      </c>
      <c r="J20" s="30" t="str">
        <f t="shared" si="2"/>
        <v/>
      </c>
      <c r="K20" s="30" t="str">
        <f t="shared" si="2"/>
        <v/>
      </c>
      <c r="L20" s="30" t="str">
        <f t="shared" si="2"/>
        <v/>
      </c>
      <c r="M20" s="30" t="str">
        <f t="shared" si="2"/>
        <v/>
      </c>
      <c r="N20" s="30" t="str">
        <f t="shared" si="2"/>
        <v/>
      </c>
      <c r="O20" s="30" t="str">
        <f t="shared" si="2"/>
        <v/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2023-07-17T20:34:48Z</dcterms:modified>
</cp:coreProperties>
</file>